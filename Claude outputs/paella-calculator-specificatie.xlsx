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Rekenregels" sheetId="2" state="visible" r:id="rId4"/>
    <sheet name="Portiegrootte_Gasten" sheetId="3" state="visible" r:id="rId5"/>
    <sheet name="Rijst_Pan_Brander" sheetId="4" state="visible" r:id="rId6"/>
    <sheet name="Pangrootte_lijst" sheetId="5" state="visible" r:id="rId7"/>
    <sheet name="Voorbeeldberekeningen" sheetId="6" state="visible" r:id="rId8"/>
    <sheet name="Foutmeldingen_Randgevall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<sst xmlns="http://schemas.openxmlformats.org/spreadsheetml/2006/main" count="190" uniqueCount="155">
  <si>
    <t xml:space="preserve">Paella Receptencalculator — volledige specificatie</t>
  </si>
  <si>
    <t xml:space="preserve">Hugo Paella (hugopaella.nl / hugopaella.es)</t>
  </si>
  <si>
    <t xml:space="preserve">Bijgewerkt: 10 september 2026</t>
  </si>
  <si>
    <t xml:space="preserve">Dit werkboek is 1-op-1 overgenomen uit de broncode die nu op de website live staat (js/calculator.js en js/calculator-ui.js). Het is bedoeld als leesbare, aanpasbare basis om de rekenregels te optimaliseren -- niet als los document ernaast: als je hier iets wijzigt, geef je aan wat en waarom, dan verwerk ik het terug in de code.</t>
  </si>
  <si>
    <t xml:space="preserve">Scope: dit werkboek beschrijft alleen de 4 velden die de calculator nu al berekent -- rijst, vocht, paellapan en gasbrander -- plus de validatie en foutmeldingen. De ingrediëntenlijsten per gerecht en de receptteksten (voor de PDF) staan hier nog niet in; dat volgt in aparte stappen zodra die content er is (zie Foutmeldingen_Randgevallen, onderaan, voor de status daarvan).</t>
  </si>
  <si>
    <t xml:space="preserve">Tabblad</t>
  </si>
  <si>
    <t xml:space="preserve">Inhoud</t>
  </si>
  <si>
    <t xml:space="preserve">Rekenregels</t>
  </si>
  <si>
    <t xml:space="preserve">De formules voor rijst en vocht, met alle factoren, in leesbare vorm.</t>
  </si>
  <si>
    <t xml:space="preserve">Portiegrootte_Gasten</t>
  </si>
  <si>
    <t xml:space="preserve">Grammages per portiegrootte + toegestane gasten-range per portiegrootte.</t>
  </si>
  <si>
    <t xml:space="preserve">Rijst_Pan_Brander</t>
  </si>
  <si>
    <t xml:space="preserve">De opzoektabel rijst (g) -&gt; aanbevolen pan (cm) + brander (cm).</t>
  </si>
  <si>
    <t xml:space="preserve">Pangrootte_lijst</t>
  </si>
  <si>
    <t xml:space="preserve">Alle beschikbare pangroottes, gebruikt voor de 'voorkeur past net'-tolerantie.</t>
  </si>
  <si>
    <t xml:space="preserve">Voorbeeldberekeningen</t>
  </si>
  <si>
    <t xml:space="preserve">7 doorgerekende voorbeelden (met live formules) die de hele logica laten zien, incl. het 46/42 cm-randgeval.</t>
  </si>
  <si>
    <t xml:space="preserve">Foutmeldingen_Randgevallen</t>
  </si>
  <si>
    <t xml:space="preserve">Alle validatie- en foutscenario's, in NL en ES, plus de eerder genomen beslissingen.</t>
  </si>
  <si>
    <t xml:space="preserve">Bron: js/calculator.js (functies computeRiceGrams, computeLiquidLiters).</t>
  </si>
  <si>
    <t xml:space="preserve">1. Rijst</t>
  </si>
  <si>
    <t xml:space="preserve">Formule:</t>
  </si>
  <si>
    <t xml:space="preserve">Rijst (g) = Aantal gasten x rijst per persoon (g)</t>
  </si>
  <si>
    <t xml:space="preserve">Geen afronding:</t>
  </si>
  <si>
    <t xml:space="preserve">de rijsthoeveelheid wordt exact getoond (geen ronde getallen).</t>
  </si>
  <si>
    <t xml:space="preserve">Rijst per persoon en toegestane gasten-aantallen:</t>
  </si>
  <si>
    <t xml:space="preserve">zie tabblad Portiegrootte_Gasten</t>
  </si>
  <si>
    <t xml:space="preserve">2. Vocht (bouillon / water)</t>
  </si>
  <si>
    <t xml:space="preserve">Vocht (L) = vochtbasis per gerecht x (rijst / 100) x correctiefactor</t>
  </si>
  <si>
    <t xml:space="preserve">Afronding:</t>
  </si>
  <si>
    <t xml:space="preserve">op 1 decimaal (bv. 3.45 -&gt; 3.5 L).</t>
  </si>
  <si>
    <t xml:space="preserve">Gerecht</t>
  </si>
  <si>
    <t xml:space="preserve">Vochtbasis (L per 100 g rijst)</t>
  </si>
  <si>
    <t xml:space="preserve">Paella Valenciana</t>
  </si>
  <si>
    <t xml:space="preserve">Paella de Marisco</t>
  </si>
  <si>
    <t xml:space="preserve">Paella de Verduras</t>
  </si>
  <si>
    <t xml:space="preserve">Fideuà</t>
  </si>
  <si>
    <t xml:space="preserve">Correctiefactor -- buiten:</t>
  </si>
  <si>
    <t xml:space="preserve">factor = 1 + windfactor (windsterkte telt volledig mee)</t>
  </si>
  <si>
    <t xml:space="preserve">Windsterkte</t>
  </si>
  <si>
    <t xml:space="preserve">Correctiefactor</t>
  </si>
  <si>
    <t xml:space="preserve">Geen</t>
  </si>
  <si>
    <t xml:space="preserve">Weinig</t>
  </si>
  <si>
    <t xml:space="preserve">Veel</t>
  </si>
  <si>
    <t xml:space="preserve">Correctiefactor -- binnen:</t>
  </si>
  <si>
    <t xml:space="preserve">factor = vast (dus altijd -5%) -&gt;</t>
  </si>
  <si>
    <t xml:space="preserve">Windsterkte bij binnen:</t>
  </si>
  <si>
    <t xml:space="preserve">wordt genegeerd -- in de site-UI staat het windveld dan ook vast op 'Geen' en is het uitgeschakeld (disabled), zodat dit nooit kan afwijken.</t>
  </si>
  <si>
    <t xml:space="preserve">3. Paellapan &amp; gasbrander</t>
  </si>
  <si>
    <t xml:space="preserve">Methode:</t>
  </si>
  <si>
    <t xml:space="preserve">GEEN formule -- opzoektabel op rijsthoeveelheid. Zie tabblad Rijst_Pan_Brander. Dat is bewust de bron van waarheid (rechtstreeks uit het tabblad 'Rijst pan brander' van het oorspronkelijke spreadsheet), niet een geometrische vuistformule.</t>
  </si>
  <si>
    <t xml:space="preserve">Opzoekregel:</t>
  </si>
  <si>
    <t xml:space="preserve">neem de eerstvolgende tabelstap die groter of gelijk is aan de rijsthoeveelheid (dus naar boven afgerond op een veelvoud van 100 g).</t>
  </si>
  <si>
    <t xml:space="preserve">Buiten tabelbereik:</t>
  </si>
  <si>
    <t xml:space="preserve">onder 400 g rijst -&gt; eerste rij (pan 46 / brander 30) wordt gebruikt; boven 5000 g -&gt; laatste rij (pan 130 / brander 90). Bij de huidige gasten-grenzen (zie Portiegrootte_Gasten) komt dit in de praktijk niet voor: alle geldige combinaties vallen binnen 400-5000 g.</t>
  </si>
  <si>
    <t xml:space="preserve">4. Voorkeur paellapan (optioneel invoerveld)</t>
  </si>
  <si>
    <t xml:space="preserve">Stap 1</t>
  </si>
  <si>
    <t xml:space="preserve">Geen voorkeur ingevuld -&gt; gebruik gewoon de standaard pan/brander uit stap 3.</t>
  </si>
  <si>
    <t xml:space="preserve">Stap 2</t>
  </si>
  <si>
    <t xml:space="preserve">Voorkeur ingevuld -&gt; zoek de positie van de standaardpan en van de voorkeurpan in de Pangrootte_lijst (26 beschikbare diameters, zie dat tabblad).</t>
  </si>
  <si>
    <t xml:space="preserve">Stap 3</t>
  </si>
  <si>
    <t xml:space="preserve">Ligt de voorkeurpan maximaal 1 stap (in die lijst) van de standaardpan af, EN is er in Rijst_Pan_Brander een brander bekend die bij exact die voorkeurpan-diameter hoort -&gt; gebruik de voorkeurpan + die brander.</t>
  </si>
  <si>
    <t xml:space="preserve">Stap 4</t>
  </si>
  <si>
    <t xml:space="preserve">In alle andere gevallen (meer dan 1 stap verschil, OF geen brander bekend voor die diameter) -&gt; 'voorkeur pangrootte lukt niet': val terug op de standaard pan/brander uit stap 3, en toon de foutmelding (zie Foutmeldingen_Randgevallen).</t>
  </si>
  <si>
    <t xml:space="preserve">Let op:</t>
  </si>
  <si>
    <t xml:space="preserve">Rijst_Pan_Brander kent alleen branders toe aan de 13 pangroottes 46 t/m 130 cm. De 13 kleinere maten in de Pangrootte_lijst (15 t/m 42 cm) hebben GEEN bijpassende brander -- een voorkeur voor zo'n kleine maat kan dus nooit slagen, ook niet als hij maar 1 stap van de standaardpan afligt. Dat is precies het 46/42 cm-randgeval waarover met Hugo is afgesproken: behandelen als 'voorkeur lukt niet'. Zie tabblad Pangrootte_lijst, kolom C.</t>
  </si>
  <si>
    <t xml:space="preserve">Portiegrootte &amp; toegestane aantal gasten</t>
  </si>
  <si>
    <t xml:space="preserve">Bron: js/calculator.js (PORTIE_GRAM, GASTEN_RANGE).</t>
  </si>
  <si>
    <t xml:space="preserve">Portiegrootte</t>
  </si>
  <si>
    <t xml:space="preserve">Rijst per persoon (g)</t>
  </si>
  <si>
    <t xml:space="preserve">Min. gasten</t>
  </si>
  <si>
    <t xml:space="preserve">Max. gasten</t>
  </si>
  <si>
    <t xml:space="preserve">Klein (80 g p.p.)</t>
  </si>
  <si>
    <t xml:space="preserve">Normaal (100 g p.p.)</t>
  </si>
  <si>
    <t xml:space="preserve">Groot (120 g p.p.)</t>
  </si>
  <si>
    <t xml:space="preserve">buiten deze min/max-grenzen geeft de calculator een foutmelding i.p.v. een resultaat (zie Foutmeldingen_Randgevallen). Er wordt hier NIET afgerond of geclampt.</t>
  </si>
  <si>
    <t xml:space="preserve">Rijst -&gt; pan -&gt; brander (opzoektabel)</t>
  </si>
  <si>
    <t xml:space="preserve">Bron: js/calculator.js (RIJST_PAN_BRANDER), 1-op-1 uit tabblad 'Rijst pan brander' kolommen D/E van het oorspronkelijke spreadsheet.</t>
  </si>
  <si>
    <t xml:space="preserve">Opzoekregel: neem de bovenste rij waarvan de rijstgrens &gt;= de berekende rijsthoeveelheid (dus de eerstvolgende hogere tabelstap).</t>
  </si>
  <si>
    <t xml:space="preserve">Rijstgrens (g) &gt;=</t>
  </si>
  <si>
    <t xml:space="preserve">Pan (cm)</t>
  </si>
  <si>
    <t xml:space="preserve">Brander (cm)</t>
  </si>
  <si>
    <t xml:space="preserve">Beschikbare paellapan-diameters</t>
  </si>
  <si>
    <t xml:space="preserve">Bron: js/calculator.js (PANGROOTTE_LIST). Gebruikt om te bepalen of een voorkeurpan 'maximaal 1 stap' van de standaardpan afligt.</t>
  </si>
  <si>
    <t xml:space="preserve">Index (0-based)</t>
  </si>
  <si>
    <t xml:space="preserve">Pangrootte (cm)</t>
  </si>
  <si>
    <t xml:space="preserve">Brander bekend in Rijst_Pan_Brander?</t>
  </si>
  <si>
    <t xml:space="preserve">de eerste 13 maten (15 t/m 42 cm) hebben geen bijpassende brander -- een voorkeur voor zo'n maat kan dus nooit slagen, hoe dicht ook bij de standaardpan. Zie Rekenregels, sectie 4.</t>
  </si>
  <si>
    <t xml:space="preserve">Voorbeeldberekeningen (live formules)</t>
  </si>
  <si>
    <t xml:space="preserve">Let op: dit zijn 7 zelf samengestelde voorbeelden om de volledige logica stap voor stap te laten zien (o.a. het 46/42 cm-randgeval) -- dit zijn NIET de oorspronkelijke 15 testcases uit jouw eigen Testdata-tabblad. Kolommen I t/m Y zijn echte Excel-formules die verwijzen naar de andere tabbladen: pas een tabel aan (bv. Rijst_Pan_Brander) en deze rijen rekenen automatisch opnieuw.</t>
  </si>
  <si>
    <t xml:space="preserve">Blauw = invoer (zoals je die op de site zou intypen). Zwart = berekend met een formule.</t>
  </si>
  <si>
    <t xml:space="preserve">#</t>
  </si>
  <si>
    <t xml:space="preserve">Gasten</t>
  </si>
  <si>
    <t xml:space="preserve">Bereiding</t>
  </si>
  <si>
    <t xml:space="preserve">Wind</t>
  </si>
  <si>
    <t xml:space="preserve">Voorkeur
pan (cm)</t>
  </si>
  <si>
    <t xml:space="preserve">Rijst p.p.
(g)</t>
  </si>
  <si>
    <t xml:space="preserve">Rijst
(g)</t>
  </si>
  <si>
    <t xml:space="preserve">Vochtbasis
(L/100g)</t>
  </si>
  <si>
    <t xml:space="preserve">Windfactor</t>
  </si>
  <si>
    <t xml:space="preserve">Correctie-
factor</t>
  </si>
  <si>
    <t xml:space="preserve">Vocht
exact (L)</t>
  </si>
  <si>
    <t xml:space="preserve">Vocht
afgerond (L)</t>
  </si>
  <si>
    <t xml:space="preserve">Rijst afgerond
naar tabelstap</t>
  </si>
  <si>
    <t xml:space="preserve">Standaard
pan (cm)</t>
  </si>
  <si>
    <t xml:space="preserve">Standaard
brander (cm)</t>
  </si>
  <si>
    <t xml:space="preserve">Idx std.
pan</t>
  </si>
  <si>
    <t xml:space="preserve">Idx voork.
pan</t>
  </si>
  <si>
    <t xml:space="preserve">Binnen
1 stap?</t>
  </si>
  <si>
    <t xml:space="preserve">Brander bekend
voor voorkeur?</t>
  </si>
  <si>
    <t xml:space="preserve">Voorkeur
gelukt?</t>
  </si>
  <si>
    <t xml:space="preserve">Eindpan
(cm)</t>
  </si>
  <si>
    <t xml:space="preserve">Eindbrander
(cm)</t>
  </si>
  <si>
    <t xml:space="preserve">Buiten</t>
  </si>
  <si>
    <t xml:space="preserve">Binnen</t>
  </si>
  <si>
    <t xml:space="preserve">Toelichting bij regel 2:</t>
  </si>
  <si>
    <t xml:space="preserve">dit is het 46/42 cm-randgeval: standaardpan is 46 cm, voorkeur 42 cm ligt maar 1 stap verderop in de Pangrootte_lijst, maar voor 42 cm is geen brander bekend -&gt; 'voorkeur lukt niet', calculator valt terug op 46/30.</t>
  </si>
  <si>
    <t xml:space="preserve">Toelichting bij regel 4:</t>
  </si>
  <si>
    <t xml:space="preserve">standaardpan is 70 cm, voorkeur 65 cm ligt 1 stap verderop EN heeft een bekende brander (45 cm) -&gt; voorkeur lukt, calculator toont 65/45 i.p.v. 70/50.</t>
  </si>
  <si>
    <t xml:space="preserve">Validatie, foutmeldingen en randgevallen</t>
  </si>
  <si>
    <t xml:space="preserve">Bron: js/calculator.js (validateGasten, applyPreference) en js/calculator-ui.js (teksten TEXT.nl / TEXT.es).</t>
  </si>
  <si>
    <t xml:space="preserve">Validatiefouten bij 'Aantal gasten'</t>
  </si>
  <si>
    <t xml:space="preserve">Situatie</t>
  </si>
  <si>
    <t xml:space="preserve">Bericht (NL)</t>
  </si>
  <si>
    <t xml:space="preserve">Bericht (ES)</t>
  </si>
  <si>
    <t xml:space="preserve">Wanneer</t>
  </si>
  <si>
    <t xml:space="preserve">Leeg</t>
  </si>
  <si>
    <t xml:space="preserve">Vul het aantal gasten in.</t>
  </si>
  <si>
    <t xml:space="preserve">Indica el número de invitados.</t>
  </si>
  <si>
    <t xml:space="preserve">Veld 'Aantal gasten' leeg of geen geldig getal.</t>
  </si>
  <si>
    <t xml:space="preserve">Te weinig bij 'Klein'</t>
  </si>
  <si>
    <t xml:space="preserve">Bij een kleine portie reken ik met minimaal 6 gasten.</t>
  </si>
  <si>
    <t xml:space="preserve">Para una ración pequeña calculo con un mínimo de 6 invitados.</t>
  </si>
  <si>
    <t xml:space="preserve">Portie 'Klein' + minder dan 6 gasten.</t>
  </si>
  <si>
    <t xml:space="preserve">Te veel bij 'Groot'</t>
  </si>
  <si>
    <t xml:space="preserve">Bij grote porties reken ik tot maximaal 40 gasten.</t>
  </si>
  <si>
    <t xml:space="preserve">Para raciones grandes calculo hasta un máximo de 40 invitados.</t>
  </si>
  <si>
    <t xml:space="preserve">Portie 'Groot' + meer dan 40 gasten.</t>
  </si>
  <si>
    <t xml:space="preserve">Buiten bereik (algemeen)</t>
  </si>
  <si>
    <t xml:space="preserve">Kies een aantal tussen {min} en {max} gasten.</t>
  </si>
  <si>
    <t xml:space="preserve">Elige un número entre {min} y {max} invitados.</t>
  </si>
  <si>
    <t xml:space="preserve">Overige buiten-bereik-gevallen (bv. te veel gasten bij 'Klein', te weinig bij 'Groot' of 'Normaal'); {min}/{max} = de grenzen van de gekozen portiegrootte, zie Portiegrootte_Gasten.</t>
  </si>
  <si>
    <t xml:space="preserve">Melding bij voorkeurpan die niet lukt</t>
  </si>
  <si>
    <t xml:space="preserve">Weergave</t>
  </si>
  <si>
    <t xml:space="preserve">Voorkeurpan ligt meer dan 1 stap van standaardpan, OF geen brander bekend voor die maat (zie Rekenregels sectie 4 en Pangrootte_lijst).</t>
  </si>
  <si>
    <t xml:space="preserve">Voorkeur pangrootte lukt niet bij dit aantal gasten: ik gebruik {pan} cm met bijpassende brander van {brander} cm (in plaats van de gevraagde {gevraagd} cm).</t>
  </si>
  <si>
    <t xml:space="preserve">La paellera preferida no encaja con este número de invitados: uso {pan} cm con el quemador correspondiente de {brander} cm (en lugar de los {gevraagd} cm solicitados).</t>
  </si>
  <si>
    <t xml:space="preserve">Rode melding (calc-notice-error) onder de resultaatkaarten -- sinds 9/10 sept bewust dezelfde stijl als een validatiefout, om beter op te vallen.</t>
  </si>
  <si>
    <t xml:space="preserve">Beslissingen die eerder met Hugo genomen zijn</t>
  </si>
  <si>
    <t xml:space="preserve">Randgeval kleinste pan</t>
  </si>
  <si>
    <t xml:space="preserve">Standaardpan 46 cm met voorkeur 42 cm: 1 stap verschil, maar geen brander bekend voor 42 cm -&gt; behandelen als 'voorkeur lukt niet' (zie ook Voorbeeldberekeningen, regel 2).</t>
  </si>
  <si>
    <t xml:space="preserve">Afronding ingrediënten (toekomstig)</t>
  </si>
  <si>
    <t xml:space="preserve">Marisco/Verduras/Fideuà missen in het oorspronkelijke spreadsheet de 'nauwkeurigheid'-kolom die Valencia wel heeft -&gt; zodra de ingrediëntenlijsten gebouwd worden, wordt daar eenzelfde soort afrondingsregel per ingrediënt afgeleid (hoofdingrediënt op tientallen, groenten op vijftallen, kruiden per halve/hele eenheid).</t>
  </si>
  <si>
    <t xml:space="preserve">Recept-PDF-knop</t>
  </si>
  <si>
    <t xml:space="preserve">Uitgesteld tot na de rekentool; staat nu als 'binnenkort'-tekst onder de resultaten, in beide talen.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</si>
</sst>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%"/>
    <numFmt numFmtId="167" formatCode="0.0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2431A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563C1"/>
      <name val="Arial"/>
      <family val="0"/>
      <charset val="1"/>
    </font>
    <font>
      <b val="true"/>
      <sz val="14"/>
      <color rgb="FFC2431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431A"/>
        <bgColor rgb="FF993366"/>
      </patternFill>
    </fill>
    <fill>
      <patternFill patternType="solid">
        <fgColor rgb="FFF4B942"/>
        <bgColor rgb="FFFFCC99"/>
      </patternFill>
    </fill>
    <fill>
      <patternFill patternType="solid">
        <fgColor rgb="FFFBEB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8"/>
      </left>
      <right style="thin">
        <color rgb="FFD9CBB8"/>
      </right>
      <top style="thin">
        <color rgb="FFD9CBB8"/>
      </top>
      <bottom style="thin">
        <color rgb="FFD9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8"/>
      <rgbColor rgb="FF808080"/>
      <rgbColor rgb="FF9999FF"/>
      <rgbColor rgb="FF993366"/>
      <rgbColor rgb="FFFBEBD9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43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aella-calculator-specificatie.xlsx" TargetMode="External"/><Relationship Id="rId2" Type="http://schemas.openxmlformats.org/officeDocument/2006/relationships/hyperlink" Target="paella-calculator-specificatie.xlsx" TargetMode="External"/><Relationship Id="rId3" Type="http://schemas.openxmlformats.org/officeDocument/2006/relationships/hyperlink" Target="paella-calculator-specificatie.xlsx" TargetMode="External"/><Relationship Id="rId4" Type="http://schemas.openxmlformats.org/officeDocument/2006/relationships/hyperlink" Target="paella-calculator-specificatie.xlsx" TargetMode="External"/><Relationship Id="rId5" Type="http://schemas.openxmlformats.org/officeDocument/2006/relationships/hyperlink" Target="paella-calculator-specificatie.xlsx" TargetMode="External"/><Relationship Id="rId6" Type="http://schemas.openxmlformats.org/officeDocument/2006/relationships/hyperlink" Target="paella-calculator-specificati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60" hidden="false" customHeight="true" outlineLevel="0" collapsed="false">
      <c r="B6" s="3" t="s">
        <v>3</v>
      </c>
      <c r="C6" s="3"/>
    </row>
    <row r="8" customFormat="false" ht="60" hidden="false" customHeight="true" outlineLevel="0" collapsed="false">
      <c r="B8" s="3" t="s">
        <v>4</v>
      </c>
      <c r="C8" s="3"/>
    </row>
    <row r="10" customFormat="false" ht="15" hidden="false" customHeight="false" outlineLevel="0" collapsed="false">
      <c r="B10" s="4" t="s">
        <v>5</v>
      </c>
      <c r="C10" s="4" t="s">
        <v>6</v>
      </c>
    </row>
    <row r="11" customFormat="false" ht="30" hidden="false" customHeight="true" outlineLevel="0" collapsed="false">
      <c r="B11" s="5" t="s">
        <v>7</v>
      </c>
      <c r="C11" s="6" t="s">
        <v>8</v>
      </c>
    </row>
    <row r="12" customFormat="false" ht="30" hidden="false" customHeight="true" outlineLevel="0" collapsed="false">
      <c r="B12" s="5" t="s">
        <v>9</v>
      </c>
      <c r="C12" s="6" t="s">
        <v>10</v>
      </c>
    </row>
    <row r="13" customFormat="false" ht="30" hidden="false" customHeight="true" outlineLevel="0" collapsed="false">
      <c r="B13" s="5" t="s">
        <v>11</v>
      </c>
      <c r="C13" s="6" t="s">
        <v>12</v>
      </c>
    </row>
    <row r="14" customFormat="false" ht="30" hidden="false" customHeight="true" outlineLevel="0" collapsed="false">
      <c r="B14" s="5" t="s">
        <v>13</v>
      </c>
      <c r="C14" s="6" t="s">
        <v>14</v>
      </c>
    </row>
    <row r="15" customFormat="false" ht="30" hidden="false" customHeight="true" outlineLevel="0" collapsed="false">
      <c r="B15" s="5" t="s">
        <v>15</v>
      </c>
      <c r="C15" s="6" t="s">
        <v>16</v>
      </c>
    </row>
    <row r="16" customFormat="false" ht="30" hidden="false" customHeight="true" outlineLevel="0" collapsed="false">
      <c r="B16" s="5" t="s">
        <v>17</v>
      </c>
      <c r="C16" s="6" t="s">
        <v>18</v>
      </c>
    </row>
  </sheetData>
  <mergeCells count="2">
    <mergeCell ref="B6:C6"/>
    <mergeCell ref="B8:C8"/>
  </mergeCells>
  <hyperlinks>
    <hyperlink ref="B11" r:id="rId1" location="Rekenregels!A1" display="Rekenregels"/>
    <hyperlink ref="B12" r:id="rId2" location="Portiegrootte_Gasten!A1" display="Portiegrootte_Gasten"/>
    <hyperlink ref="B13" r:id="rId3" location="Rijst_Pan_Brander!A1" display="Rijst_Pan_Brander"/>
    <hyperlink ref="B14" r:id="rId4" location="Pangrootte_lijst!A1" display="Pangrootte_lijst"/>
    <hyperlink ref="B15" r:id="rId5" location="Voorbeeldberekeningen!A1" display="Voorbeeldberekeningen"/>
    <hyperlink ref="B16" r:id="rId6" location="Foutmeldingen_Randgevallen!A1" display="Foutmeldingen_Randgevall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7" t="s">
        <v>7</v>
      </c>
    </row>
    <row r="2" customFormat="false" ht="15" hidden="false" customHeight="false" outlineLevel="0" collapsed="false">
      <c r="B2" s="2" t="s">
        <v>19</v>
      </c>
    </row>
    <row r="4" customFormat="false" ht="15" hidden="false" customHeight="false" outlineLevel="0" collapsed="false">
      <c r="B4" s="8" t="s">
        <v>20</v>
      </c>
      <c r="C4" s="8"/>
      <c r="D4" s="8"/>
    </row>
    <row r="5" customFormat="false" ht="15" hidden="false" customHeight="false" outlineLevel="0" collapsed="false">
      <c r="B5" s="9" t="s">
        <v>21</v>
      </c>
      <c r="C5" s="10" t="s">
        <v>22</v>
      </c>
      <c r="D5" s="10"/>
    </row>
    <row r="6" customFormat="false" ht="15" hidden="false" customHeight="false" outlineLevel="0" collapsed="false">
      <c r="B6" s="9" t="s">
        <v>23</v>
      </c>
      <c r="C6" s="10" t="s">
        <v>24</v>
      </c>
      <c r="D6" s="10"/>
    </row>
    <row r="7" customFormat="false" ht="15" hidden="false" customHeight="false" outlineLevel="0" collapsed="false">
      <c r="B7" s="11" t="s">
        <v>25</v>
      </c>
      <c r="C7" s="2" t="s">
        <v>26</v>
      </c>
    </row>
    <row r="9" customFormat="false" ht="15" hidden="false" customHeight="false" outlineLevel="0" collapsed="false">
      <c r="B9" s="8" t="s">
        <v>27</v>
      </c>
      <c r="C9" s="8"/>
      <c r="D9" s="8"/>
    </row>
    <row r="10" customFormat="false" ht="15" hidden="false" customHeight="false" outlineLevel="0" collapsed="false">
      <c r="B10" s="9" t="s">
        <v>21</v>
      </c>
      <c r="C10" s="10" t="s">
        <v>28</v>
      </c>
      <c r="D10" s="10"/>
    </row>
    <row r="11" customFormat="false" ht="15" hidden="false" customHeight="false" outlineLevel="0" collapsed="false">
      <c r="B11" s="9" t="s">
        <v>29</v>
      </c>
      <c r="C11" s="10" t="s">
        <v>30</v>
      </c>
      <c r="D11" s="10"/>
    </row>
    <row r="13" customFormat="false" ht="26.85" hidden="false" customHeight="false" outlineLevel="0" collapsed="false">
      <c r="B13" s="4" t="s">
        <v>31</v>
      </c>
      <c r="C13" s="4" t="s">
        <v>32</v>
      </c>
    </row>
    <row r="14" customFormat="false" ht="15" hidden="false" customHeight="false" outlineLevel="0" collapsed="false">
      <c r="B14" s="12" t="s">
        <v>33</v>
      </c>
      <c r="C14" s="13" t="n">
        <v>0.7</v>
      </c>
    </row>
    <row r="15" customFormat="false" ht="15" hidden="false" customHeight="false" outlineLevel="0" collapsed="false">
      <c r="B15" s="12" t="s">
        <v>34</v>
      </c>
      <c r="C15" s="13" t="n">
        <v>0.3</v>
      </c>
    </row>
    <row r="16" customFormat="false" ht="15" hidden="false" customHeight="false" outlineLevel="0" collapsed="false">
      <c r="B16" s="12" t="s">
        <v>35</v>
      </c>
      <c r="C16" s="13" t="n">
        <v>0.3</v>
      </c>
    </row>
    <row r="17" customFormat="false" ht="15" hidden="false" customHeight="false" outlineLevel="0" collapsed="false">
      <c r="B17" s="12" t="s">
        <v>36</v>
      </c>
      <c r="C17" s="13" t="n">
        <v>0.3</v>
      </c>
    </row>
    <row r="19" customFormat="false" ht="15" hidden="false" customHeight="false" outlineLevel="0" collapsed="false">
      <c r="B19" s="9" t="s">
        <v>37</v>
      </c>
      <c r="C19" s="10" t="s">
        <v>38</v>
      </c>
      <c r="D19" s="10"/>
    </row>
    <row r="20" customFormat="false" ht="15" hidden="false" customHeight="false" outlineLevel="0" collapsed="false">
      <c r="B20" s="4" t="s">
        <v>39</v>
      </c>
      <c r="C20" s="4" t="s">
        <v>40</v>
      </c>
    </row>
    <row r="21" customFormat="false" ht="15" hidden="false" customHeight="false" outlineLevel="0" collapsed="false">
      <c r="B21" s="12" t="s">
        <v>41</v>
      </c>
      <c r="C21" s="14" t="n">
        <v>0</v>
      </c>
    </row>
    <row r="22" customFormat="false" ht="15" hidden="false" customHeight="false" outlineLevel="0" collapsed="false">
      <c r="B22" s="12" t="s">
        <v>42</v>
      </c>
      <c r="C22" s="14" t="n">
        <v>0.05</v>
      </c>
    </row>
    <row r="23" customFormat="false" ht="15" hidden="false" customHeight="false" outlineLevel="0" collapsed="false">
      <c r="B23" s="12" t="s">
        <v>43</v>
      </c>
      <c r="C23" s="14" t="n">
        <v>0.1</v>
      </c>
    </row>
    <row r="25" customFormat="false" ht="15" hidden="false" customHeight="false" outlineLevel="0" collapsed="false">
      <c r="B25" s="9" t="s">
        <v>44</v>
      </c>
      <c r="C25" s="11" t="s">
        <v>45</v>
      </c>
      <c r="D25" s="15" t="n">
        <v>0.95</v>
      </c>
    </row>
    <row r="26" customFormat="false" ht="30" hidden="false" customHeight="true" outlineLevel="0" collapsed="false">
      <c r="B26" s="9" t="s">
        <v>46</v>
      </c>
      <c r="C26" s="10" t="s">
        <v>47</v>
      </c>
      <c r="D26" s="10"/>
    </row>
    <row r="28" customFormat="false" ht="15" hidden="false" customHeight="false" outlineLevel="0" collapsed="false">
      <c r="B28" s="8" t="s">
        <v>48</v>
      </c>
      <c r="C28" s="8"/>
      <c r="D28" s="8"/>
    </row>
    <row r="29" customFormat="false" ht="45" hidden="false" customHeight="true" outlineLevel="0" collapsed="false">
      <c r="B29" s="9" t="s">
        <v>49</v>
      </c>
      <c r="C29" s="3" t="s">
        <v>50</v>
      </c>
      <c r="D29" s="3"/>
    </row>
    <row r="30" customFormat="false" ht="30" hidden="false" customHeight="true" outlineLevel="0" collapsed="false">
      <c r="B30" s="9" t="s">
        <v>51</v>
      </c>
      <c r="C30" s="3" t="s">
        <v>52</v>
      </c>
      <c r="D30" s="3"/>
    </row>
    <row r="31" customFormat="false" ht="45" hidden="false" customHeight="true" outlineLevel="0" collapsed="false">
      <c r="B31" s="9" t="s">
        <v>53</v>
      </c>
      <c r="C31" s="3" t="s">
        <v>54</v>
      </c>
      <c r="D31" s="3"/>
    </row>
    <row r="33" customFormat="false" ht="15" hidden="false" customHeight="false" outlineLevel="0" collapsed="false">
      <c r="B33" s="8" t="s">
        <v>55</v>
      </c>
      <c r="C33" s="8"/>
      <c r="D33" s="8"/>
    </row>
    <row r="34" customFormat="false" ht="45" hidden="false" customHeight="true" outlineLevel="0" collapsed="false">
      <c r="B34" s="9" t="s">
        <v>56</v>
      </c>
      <c r="C34" s="3" t="s">
        <v>57</v>
      </c>
      <c r="D34" s="3"/>
    </row>
    <row r="35" customFormat="false" ht="45" hidden="false" customHeight="true" outlineLevel="0" collapsed="false">
      <c r="B35" s="9" t="s">
        <v>58</v>
      </c>
      <c r="C35" s="3" t="s">
        <v>59</v>
      </c>
      <c r="D35" s="3"/>
    </row>
    <row r="36" customFormat="false" ht="45" hidden="false" customHeight="true" outlineLevel="0" collapsed="false">
      <c r="B36" s="9" t="s">
        <v>60</v>
      </c>
      <c r="C36" s="3" t="s">
        <v>61</v>
      </c>
      <c r="D36" s="3"/>
    </row>
    <row r="37" customFormat="false" ht="45" hidden="false" customHeight="true" outlineLevel="0" collapsed="false">
      <c r="B37" s="9" t="s">
        <v>62</v>
      </c>
      <c r="C37" s="3" t="s">
        <v>63</v>
      </c>
      <c r="D37" s="3"/>
    </row>
    <row r="39" customFormat="false" ht="75" hidden="false" customHeight="true" outlineLevel="0" collapsed="false">
      <c r="B39" s="16" t="s">
        <v>64</v>
      </c>
      <c r="C39" s="17" t="s">
        <v>65</v>
      </c>
      <c r="D39" s="17"/>
    </row>
  </sheetData>
  <mergeCells count="14">
    <mergeCell ref="C5:D5"/>
    <mergeCell ref="C6:D6"/>
    <mergeCell ref="C10:D10"/>
    <mergeCell ref="C11:D11"/>
    <mergeCell ref="C19:D19"/>
    <mergeCell ref="C26:D26"/>
    <mergeCell ref="C29:D29"/>
    <mergeCell ref="C30:D30"/>
    <mergeCell ref="C31:D31"/>
    <mergeCell ref="C34:D34"/>
    <mergeCell ref="C35:D35"/>
    <mergeCell ref="C36:D36"/>
    <mergeCell ref="C37:D37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4"/>
  </cols>
  <sheetData>
    <row r="1" customFormat="false" ht="17.35" hidden="false" customHeight="false" outlineLevel="0" collapsed="false">
      <c r="B1" s="7" t="s">
        <v>66</v>
      </c>
    </row>
    <row r="2" customFormat="false" ht="15" hidden="false" customHeight="false" outlineLevel="0" collapsed="false">
      <c r="B2" s="2" t="s">
        <v>67</v>
      </c>
    </row>
    <row r="4" customFormat="false" ht="15" hidden="false" customHeight="false" outlineLevel="0" collapsed="false">
      <c r="B4" s="4" t="s">
        <v>68</v>
      </c>
      <c r="C4" s="4" t="s">
        <v>69</v>
      </c>
      <c r="D4" s="4" t="s">
        <v>70</v>
      </c>
      <c r="E4" s="4" t="s">
        <v>71</v>
      </c>
    </row>
    <row r="5" customFormat="false" ht="15" hidden="false" customHeight="false" outlineLevel="0" collapsed="false">
      <c r="B5" s="12" t="s">
        <v>72</v>
      </c>
      <c r="C5" s="12" t="n">
        <v>80</v>
      </c>
      <c r="D5" s="12" t="n">
        <v>6</v>
      </c>
      <c r="E5" s="12" t="n">
        <v>50</v>
      </c>
    </row>
    <row r="6" customFormat="false" ht="15" hidden="false" customHeight="false" outlineLevel="0" collapsed="false">
      <c r="B6" s="12" t="s">
        <v>73</v>
      </c>
      <c r="C6" s="12" t="n">
        <v>100</v>
      </c>
      <c r="D6" s="12" t="n">
        <v>4</v>
      </c>
      <c r="E6" s="12" t="n">
        <v>50</v>
      </c>
    </row>
    <row r="7" customFormat="false" ht="15" hidden="false" customHeight="false" outlineLevel="0" collapsed="false">
      <c r="B7" s="12" t="s">
        <v>74</v>
      </c>
      <c r="C7" s="12" t="n">
        <v>120</v>
      </c>
      <c r="D7" s="12" t="n">
        <v>4</v>
      </c>
      <c r="E7" s="12" t="n">
        <v>40</v>
      </c>
    </row>
    <row r="9" customFormat="false" ht="30" hidden="false" customHeight="true" outlineLevel="0" collapsed="false">
      <c r="B9" s="16" t="s">
        <v>64</v>
      </c>
      <c r="C9" s="17" t="s">
        <v>75</v>
      </c>
      <c r="D9" s="17"/>
      <c r="E9" s="17"/>
    </row>
  </sheetData>
  <mergeCells count="1">
    <mergeCell ref="C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B1" s="7" t="s">
        <v>76</v>
      </c>
    </row>
    <row r="2" customFormat="false" ht="15" hidden="false" customHeight="false" outlineLevel="0" collapsed="false">
      <c r="B2" s="2" t="s">
        <v>77</v>
      </c>
    </row>
    <row r="3" customFormat="false" ht="30" hidden="false" customHeight="true" outlineLevel="0" collapsed="false">
      <c r="B3" s="3" t="s">
        <v>78</v>
      </c>
      <c r="C3" s="3"/>
      <c r="D3" s="3"/>
    </row>
    <row r="5" customFormat="false" ht="15" hidden="false" customHeight="false" outlineLevel="0" collapsed="false">
      <c r="B5" s="4" t="s">
        <v>79</v>
      </c>
      <c r="C5" s="4" t="s">
        <v>80</v>
      </c>
      <c r="D5" s="4" t="s">
        <v>81</v>
      </c>
    </row>
    <row r="6" customFormat="false" ht="15" hidden="false" customHeight="false" outlineLevel="0" collapsed="false">
      <c r="B6" s="12" t="n">
        <v>400</v>
      </c>
      <c r="C6" s="12" t="n">
        <v>46</v>
      </c>
      <c r="D6" s="12" t="n">
        <v>30</v>
      </c>
    </row>
    <row r="7" customFormat="false" ht="15" hidden="false" customHeight="false" outlineLevel="0" collapsed="false">
      <c r="B7" s="12" t="n">
        <v>500</v>
      </c>
      <c r="C7" s="12" t="n">
        <v>50</v>
      </c>
      <c r="D7" s="12" t="n">
        <v>35</v>
      </c>
    </row>
    <row r="8" customFormat="false" ht="15" hidden="false" customHeight="false" outlineLevel="0" collapsed="false">
      <c r="B8" s="12" t="n">
        <v>600</v>
      </c>
      <c r="C8" s="12" t="n">
        <v>55</v>
      </c>
      <c r="D8" s="12" t="n">
        <v>40</v>
      </c>
    </row>
    <row r="9" customFormat="false" ht="15" hidden="false" customHeight="false" outlineLevel="0" collapsed="false">
      <c r="B9" s="12" t="n">
        <v>700</v>
      </c>
      <c r="C9" s="12" t="n">
        <v>60</v>
      </c>
      <c r="D9" s="12" t="n">
        <v>45</v>
      </c>
    </row>
    <row r="10" customFormat="false" ht="15" hidden="false" customHeight="false" outlineLevel="0" collapsed="false">
      <c r="B10" s="12" t="n">
        <v>800</v>
      </c>
      <c r="C10" s="12" t="n">
        <v>60</v>
      </c>
      <c r="D10" s="12" t="n">
        <v>45</v>
      </c>
    </row>
    <row r="11" customFormat="false" ht="15" hidden="false" customHeight="false" outlineLevel="0" collapsed="false">
      <c r="B11" s="12" t="n">
        <v>900</v>
      </c>
      <c r="C11" s="12" t="n">
        <v>65</v>
      </c>
      <c r="D11" s="12" t="n">
        <v>45</v>
      </c>
    </row>
    <row r="12" customFormat="false" ht="15" hidden="false" customHeight="false" outlineLevel="0" collapsed="false">
      <c r="B12" s="12" t="n">
        <v>1000</v>
      </c>
      <c r="C12" s="12" t="n">
        <v>70</v>
      </c>
      <c r="D12" s="12" t="n">
        <v>50</v>
      </c>
    </row>
    <row r="13" customFormat="false" ht="15" hidden="false" customHeight="false" outlineLevel="0" collapsed="false">
      <c r="B13" s="12" t="n">
        <v>1100</v>
      </c>
      <c r="C13" s="12" t="n">
        <v>70</v>
      </c>
      <c r="D13" s="12" t="n">
        <v>50</v>
      </c>
    </row>
    <row r="14" customFormat="false" ht="15" hidden="false" customHeight="false" outlineLevel="0" collapsed="false">
      <c r="B14" s="12" t="n">
        <v>1200</v>
      </c>
      <c r="C14" s="12" t="n">
        <v>75</v>
      </c>
      <c r="D14" s="12" t="n">
        <v>60</v>
      </c>
    </row>
    <row r="15" customFormat="false" ht="15" hidden="false" customHeight="false" outlineLevel="0" collapsed="false">
      <c r="B15" s="12" t="n">
        <v>1300</v>
      </c>
      <c r="C15" s="12" t="n">
        <v>80</v>
      </c>
      <c r="D15" s="12" t="n">
        <v>60</v>
      </c>
    </row>
    <row r="16" customFormat="false" ht="15" hidden="false" customHeight="false" outlineLevel="0" collapsed="false">
      <c r="B16" s="12" t="n">
        <v>1400</v>
      </c>
      <c r="C16" s="12" t="n">
        <v>80</v>
      </c>
      <c r="D16" s="12" t="n">
        <v>60</v>
      </c>
    </row>
    <row r="17" customFormat="false" ht="15" hidden="false" customHeight="false" outlineLevel="0" collapsed="false">
      <c r="B17" s="12" t="n">
        <v>1500</v>
      </c>
      <c r="C17" s="12" t="n">
        <v>85</v>
      </c>
      <c r="D17" s="12" t="n">
        <v>60</v>
      </c>
    </row>
    <row r="18" customFormat="false" ht="15" hidden="false" customHeight="false" outlineLevel="0" collapsed="false">
      <c r="B18" s="12" t="n">
        <v>1600</v>
      </c>
      <c r="C18" s="12" t="n">
        <v>85</v>
      </c>
      <c r="D18" s="12" t="n">
        <v>60</v>
      </c>
    </row>
    <row r="19" customFormat="false" ht="15" hidden="false" customHeight="false" outlineLevel="0" collapsed="false">
      <c r="B19" s="12" t="n">
        <v>1700</v>
      </c>
      <c r="C19" s="12" t="n">
        <v>90</v>
      </c>
      <c r="D19" s="12" t="n">
        <v>70</v>
      </c>
    </row>
    <row r="20" customFormat="false" ht="15" hidden="false" customHeight="false" outlineLevel="0" collapsed="false">
      <c r="B20" s="12" t="n">
        <v>1800</v>
      </c>
      <c r="C20" s="12" t="n">
        <v>90</v>
      </c>
      <c r="D20" s="12" t="n">
        <v>70</v>
      </c>
    </row>
    <row r="21" customFormat="false" ht="15" hidden="false" customHeight="false" outlineLevel="0" collapsed="false">
      <c r="B21" s="12" t="n">
        <v>1900</v>
      </c>
      <c r="C21" s="12" t="n">
        <v>90</v>
      </c>
      <c r="D21" s="12" t="n">
        <v>70</v>
      </c>
    </row>
    <row r="22" customFormat="false" ht="15" hidden="false" customHeight="false" outlineLevel="0" collapsed="false">
      <c r="B22" s="12" t="n">
        <v>2000</v>
      </c>
      <c r="C22" s="12" t="n">
        <v>100</v>
      </c>
      <c r="D22" s="12" t="n">
        <v>70</v>
      </c>
    </row>
    <row r="23" customFormat="false" ht="15" hidden="false" customHeight="false" outlineLevel="0" collapsed="false">
      <c r="B23" s="12" t="n">
        <v>2100</v>
      </c>
      <c r="C23" s="12" t="n">
        <v>100</v>
      </c>
      <c r="D23" s="12" t="n">
        <v>70</v>
      </c>
    </row>
    <row r="24" customFormat="false" ht="15" hidden="false" customHeight="false" outlineLevel="0" collapsed="false">
      <c r="B24" s="12" t="n">
        <v>2200</v>
      </c>
      <c r="C24" s="12" t="n">
        <v>100</v>
      </c>
      <c r="D24" s="12" t="n">
        <v>70</v>
      </c>
    </row>
    <row r="25" customFormat="false" ht="15" hidden="false" customHeight="false" outlineLevel="0" collapsed="false">
      <c r="B25" s="12" t="n">
        <v>2300</v>
      </c>
      <c r="C25" s="12" t="n">
        <v>100</v>
      </c>
      <c r="D25" s="12" t="n">
        <v>70</v>
      </c>
    </row>
    <row r="26" customFormat="false" ht="15" hidden="false" customHeight="false" outlineLevel="0" collapsed="false">
      <c r="B26" s="12" t="n">
        <v>2400</v>
      </c>
      <c r="C26" s="12" t="n">
        <v>100</v>
      </c>
      <c r="D26" s="12" t="n">
        <v>70</v>
      </c>
    </row>
    <row r="27" customFormat="false" ht="15" hidden="false" customHeight="false" outlineLevel="0" collapsed="false">
      <c r="B27" s="12" t="n">
        <v>2500</v>
      </c>
      <c r="C27" s="12" t="n">
        <v>100</v>
      </c>
      <c r="D27" s="12" t="n">
        <v>70</v>
      </c>
    </row>
    <row r="28" customFormat="false" ht="15" hidden="false" customHeight="false" outlineLevel="0" collapsed="false">
      <c r="B28" s="12" t="n">
        <v>2600</v>
      </c>
      <c r="C28" s="12" t="n">
        <v>100</v>
      </c>
      <c r="D28" s="12" t="n">
        <v>70</v>
      </c>
    </row>
    <row r="29" customFormat="false" ht="15" hidden="false" customHeight="false" outlineLevel="0" collapsed="false">
      <c r="B29" s="12" t="n">
        <v>2700</v>
      </c>
      <c r="C29" s="12" t="n">
        <v>115</v>
      </c>
      <c r="D29" s="12" t="n">
        <v>80</v>
      </c>
    </row>
    <row r="30" customFormat="false" ht="15" hidden="false" customHeight="false" outlineLevel="0" collapsed="false">
      <c r="B30" s="12" t="n">
        <v>2800</v>
      </c>
      <c r="C30" s="12" t="n">
        <v>115</v>
      </c>
      <c r="D30" s="12" t="n">
        <v>80</v>
      </c>
    </row>
    <row r="31" customFormat="false" ht="15" hidden="false" customHeight="false" outlineLevel="0" collapsed="false">
      <c r="B31" s="12" t="n">
        <v>2900</v>
      </c>
      <c r="C31" s="12" t="n">
        <v>115</v>
      </c>
      <c r="D31" s="12" t="n">
        <v>80</v>
      </c>
    </row>
    <row r="32" customFormat="false" ht="15" hidden="false" customHeight="false" outlineLevel="0" collapsed="false">
      <c r="B32" s="12" t="n">
        <v>3000</v>
      </c>
      <c r="C32" s="12" t="n">
        <v>115</v>
      </c>
      <c r="D32" s="12" t="n">
        <v>80</v>
      </c>
    </row>
    <row r="33" customFormat="false" ht="15" hidden="false" customHeight="false" outlineLevel="0" collapsed="false">
      <c r="B33" s="12" t="n">
        <v>3100</v>
      </c>
      <c r="C33" s="12" t="n">
        <v>115</v>
      </c>
      <c r="D33" s="12" t="n">
        <v>80</v>
      </c>
    </row>
    <row r="34" customFormat="false" ht="15" hidden="false" customHeight="false" outlineLevel="0" collapsed="false">
      <c r="B34" s="12" t="n">
        <v>3200</v>
      </c>
      <c r="C34" s="12" t="n">
        <v>115</v>
      </c>
      <c r="D34" s="12" t="n">
        <v>80</v>
      </c>
    </row>
    <row r="35" customFormat="false" ht="15" hidden="false" customHeight="false" outlineLevel="0" collapsed="false">
      <c r="B35" s="12" t="n">
        <v>3300</v>
      </c>
      <c r="C35" s="12" t="n">
        <v>115</v>
      </c>
      <c r="D35" s="12" t="n">
        <v>80</v>
      </c>
    </row>
    <row r="36" customFormat="false" ht="15" hidden="false" customHeight="false" outlineLevel="0" collapsed="false">
      <c r="B36" s="12" t="n">
        <v>3400</v>
      </c>
      <c r="C36" s="12" t="n">
        <v>130</v>
      </c>
      <c r="D36" s="12" t="n">
        <v>90</v>
      </c>
    </row>
    <row r="37" customFormat="false" ht="15" hidden="false" customHeight="false" outlineLevel="0" collapsed="false">
      <c r="B37" s="12" t="n">
        <v>3500</v>
      </c>
      <c r="C37" s="12" t="n">
        <v>130</v>
      </c>
      <c r="D37" s="12" t="n">
        <v>90</v>
      </c>
    </row>
    <row r="38" customFormat="false" ht="15" hidden="false" customHeight="false" outlineLevel="0" collapsed="false">
      <c r="B38" s="12" t="n">
        <v>3600</v>
      </c>
      <c r="C38" s="12" t="n">
        <v>130</v>
      </c>
      <c r="D38" s="12" t="n">
        <v>90</v>
      </c>
    </row>
    <row r="39" customFormat="false" ht="15" hidden="false" customHeight="false" outlineLevel="0" collapsed="false">
      <c r="B39" s="12" t="n">
        <v>3700</v>
      </c>
      <c r="C39" s="12" t="n">
        <v>130</v>
      </c>
      <c r="D39" s="12" t="n">
        <v>90</v>
      </c>
    </row>
    <row r="40" customFormat="false" ht="15" hidden="false" customHeight="false" outlineLevel="0" collapsed="false">
      <c r="B40" s="12" t="n">
        <v>3800</v>
      </c>
      <c r="C40" s="12" t="n">
        <v>130</v>
      </c>
      <c r="D40" s="12" t="n">
        <v>90</v>
      </c>
    </row>
    <row r="41" customFormat="false" ht="15" hidden="false" customHeight="false" outlineLevel="0" collapsed="false">
      <c r="B41" s="12" t="n">
        <v>3900</v>
      </c>
      <c r="C41" s="12" t="n">
        <v>130</v>
      </c>
      <c r="D41" s="12" t="n">
        <v>90</v>
      </c>
    </row>
    <row r="42" customFormat="false" ht="15" hidden="false" customHeight="false" outlineLevel="0" collapsed="false">
      <c r="B42" s="12" t="n">
        <v>4000</v>
      </c>
      <c r="C42" s="12" t="n">
        <v>130</v>
      </c>
      <c r="D42" s="12" t="n">
        <v>90</v>
      </c>
    </row>
    <row r="43" customFormat="false" ht="15" hidden="false" customHeight="false" outlineLevel="0" collapsed="false">
      <c r="B43" s="12" t="n">
        <v>4100</v>
      </c>
      <c r="C43" s="12" t="n">
        <v>130</v>
      </c>
      <c r="D43" s="12" t="n">
        <v>90</v>
      </c>
    </row>
    <row r="44" customFormat="false" ht="15" hidden="false" customHeight="false" outlineLevel="0" collapsed="false">
      <c r="B44" s="12" t="n">
        <v>4200</v>
      </c>
      <c r="C44" s="12" t="n">
        <v>130</v>
      </c>
      <c r="D44" s="12" t="n">
        <v>90</v>
      </c>
    </row>
    <row r="45" customFormat="false" ht="15" hidden="false" customHeight="false" outlineLevel="0" collapsed="false">
      <c r="B45" s="12" t="n">
        <v>4300</v>
      </c>
      <c r="C45" s="12" t="n">
        <v>130</v>
      </c>
      <c r="D45" s="12" t="n">
        <v>90</v>
      </c>
    </row>
    <row r="46" customFormat="false" ht="15" hidden="false" customHeight="false" outlineLevel="0" collapsed="false">
      <c r="B46" s="12" t="n">
        <v>4400</v>
      </c>
      <c r="C46" s="12" t="n">
        <v>130</v>
      </c>
      <c r="D46" s="12" t="n">
        <v>90</v>
      </c>
    </row>
    <row r="47" customFormat="false" ht="15" hidden="false" customHeight="false" outlineLevel="0" collapsed="false">
      <c r="B47" s="12" t="n">
        <v>4500</v>
      </c>
      <c r="C47" s="12" t="n">
        <v>130</v>
      </c>
      <c r="D47" s="12" t="n">
        <v>90</v>
      </c>
    </row>
    <row r="48" customFormat="false" ht="15" hidden="false" customHeight="false" outlineLevel="0" collapsed="false">
      <c r="B48" s="12" t="n">
        <v>4600</v>
      </c>
      <c r="C48" s="12" t="n">
        <v>130</v>
      </c>
      <c r="D48" s="12" t="n">
        <v>90</v>
      </c>
    </row>
    <row r="49" customFormat="false" ht="15" hidden="false" customHeight="false" outlineLevel="0" collapsed="false">
      <c r="B49" s="12" t="n">
        <v>4700</v>
      </c>
      <c r="C49" s="12" t="n">
        <v>130</v>
      </c>
      <c r="D49" s="12" t="n">
        <v>90</v>
      </c>
    </row>
    <row r="50" customFormat="false" ht="15" hidden="false" customHeight="false" outlineLevel="0" collapsed="false">
      <c r="B50" s="12" t="n">
        <v>4800</v>
      </c>
      <c r="C50" s="12" t="n">
        <v>130</v>
      </c>
      <c r="D50" s="12" t="n">
        <v>90</v>
      </c>
    </row>
    <row r="51" customFormat="false" ht="15" hidden="false" customHeight="false" outlineLevel="0" collapsed="false">
      <c r="B51" s="12" t="n">
        <v>4900</v>
      </c>
      <c r="C51" s="12" t="n">
        <v>130</v>
      </c>
      <c r="D51" s="12" t="n">
        <v>90</v>
      </c>
    </row>
    <row r="52" customFormat="false" ht="15" hidden="false" customHeight="false" outlineLevel="0" collapsed="false">
      <c r="B52" s="12" t="n">
        <v>5000</v>
      </c>
      <c r="C52" s="12" t="n">
        <v>130</v>
      </c>
      <c r="D52" s="12" t="n">
        <v>90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B1" s="7" t="s">
        <v>82</v>
      </c>
    </row>
    <row r="2" customFormat="false" ht="30" hidden="false" customHeight="true" outlineLevel="0" collapsed="false">
      <c r="B2" s="18" t="s">
        <v>83</v>
      </c>
      <c r="C2" s="18"/>
      <c r="D2" s="18"/>
    </row>
    <row r="4" customFormat="false" ht="26.85" hidden="false" customHeight="false" outlineLevel="0" collapsed="false">
      <c r="B4" s="4" t="s">
        <v>84</v>
      </c>
      <c r="C4" s="4" t="s">
        <v>85</v>
      </c>
      <c r="D4" s="4" t="s">
        <v>86</v>
      </c>
    </row>
    <row r="5" customFormat="false" ht="15" hidden="false" customHeight="false" outlineLevel="0" collapsed="false">
      <c r="B5" s="12" t="n">
        <v>0</v>
      </c>
      <c r="C5" s="12" t="n">
        <v>15</v>
      </c>
      <c r="D5" s="12" t="str">
        <f aca="false">IF(COUNTIF(Rijst_Pan_Brander!$C$6:$C$52,C5)&gt;0,"ja","nee (geen brander bekend)")</f>
        <v>nee (geen brander bekend)</v>
      </c>
    </row>
    <row r="6" customFormat="false" ht="15" hidden="false" customHeight="false" outlineLevel="0" collapsed="false">
      <c r="B6" s="12" t="n">
        <v>1</v>
      </c>
      <c r="C6" s="12" t="n">
        <v>20</v>
      </c>
      <c r="D6" s="12" t="str">
        <f aca="false">IF(COUNTIF(Rijst_Pan_Brander!$C$6:$C$52,C6)&gt;0,"ja","nee (geen brander bekend)")</f>
        <v>nee (geen brander bekend)</v>
      </c>
    </row>
    <row r="7" customFormat="false" ht="15" hidden="false" customHeight="false" outlineLevel="0" collapsed="false">
      <c r="B7" s="12" t="n">
        <v>2</v>
      </c>
      <c r="C7" s="12" t="n">
        <v>22</v>
      </c>
      <c r="D7" s="12" t="str">
        <f aca="false">IF(COUNTIF(Rijst_Pan_Brander!$C$6:$C$52,C7)&gt;0,"ja","nee (geen brander bekend)")</f>
        <v>nee (geen brander bekend)</v>
      </c>
    </row>
    <row r="8" customFormat="false" ht="15" hidden="false" customHeight="false" outlineLevel="0" collapsed="false">
      <c r="B8" s="12" t="n">
        <v>3</v>
      </c>
      <c r="C8" s="12" t="n">
        <v>24</v>
      </c>
      <c r="D8" s="12" t="str">
        <f aca="false">IF(COUNTIF(Rijst_Pan_Brander!$C$6:$C$52,C8)&gt;0,"ja","nee (geen brander bekend)")</f>
        <v>nee (geen brander bekend)</v>
      </c>
    </row>
    <row r="9" customFormat="false" ht="15" hidden="false" customHeight="false" outlineLevel="0" collapsed="false">
      <c r="B9" s="12" t="n">
        <v>4</v>
      </c>
      <c r="C9" s="12" t="n">
        <v>26</v>
      </c>
      <c r="D9" s="12" t="str">
        <f aca="false">IF(COUNTIF(Rijst_Pan_Brander!$C$6:$C$52,C9)&gt;0,"ja","nee (geen brander bekend)")</f>
        <v>nee (geen brander bekend)</v>
      </c>
    </row>
    <row r="10" customFormat="false" ht="15" hidden="false" customHeight="false" outlineLevel="0" collapsed="false">
      <c r="B10" s="12" t="n">
        <v>5</v>
      </c>
      <c r="C10" s="12" t="n">
        <v>28</v>
      </c>
      <c r="D10" s="12" t="str">
        <f aca="false">IF(COUNTIF(Rijst_Pan_Brander!$C$6:$C$52,C10)&gt;0,"ja","nee (geen brander bekend)")</f>
        <v>nee (geen brander bekend)</v>
      </c>
    </row>
    <row r="11" customFormat="false" ht="15" hidden="false" customHeight="false" outlineLevel="0" collapsed="false">
      <c r="B11" s="12" t="n">
        <v>6</v>
      </c>
      <c r="C11" s="12" t="n">
        <v>30</v>
      </c>
      <c r="D11" s="12" t="str">
        <f aca="false">IF(COUNTIF(Rijst_Pan_Brander!$C$6:$C$52,C11)&gt;0,"ja","nee (geen brander bekend)")</f>
        <v>nee (geen brander bekend)</v>
      </c>
    </row>
    <row r="12" customFormat="false" ht="15" hidden="false" customHeight="false" outlineLevel="0" collapsed="false">
      <c r="B12" s="12" t="n">
        <v>7</v>
      </c>
      <c r="C12" s="12" t="n">
        <v>32</v>
      </c>
      <c r="D12" s="12" t="str">
        <f aca="false">IF(COUNTIF(Rijst_Pan_Brander!$C$6:$C$52,C12)&gt;0,"ja","nee (geen brander bekend)")</f>
        <v>nee (geen brander bekend)</v>
      </c>
    </row>
    <row r="13" customFormat="false" ht="15" hidden="false" customHeight="false" outlineLevel="0" collapsed="false">
      <c r="B13" s="12" t="n">
        <v>8</v>
      </c>
      <c r="C13" s="12" t="n">
        <v>34</v>
      </c>
      <c r="D13" s="12" t="str">
        <f aca="false">IF(COUNTIF(Rijst_Pan_Brander!$C$6:$C$52,C13)&gt;0,"ja","nee (geen brander bekend)")</f>
        <v>nee (geen brander bekend)</v>
      </c>
    </row>
    <row r="14" customFormat="false" ht="15" hidden="false" customHeight="false" outlineLevel="0" collapsed="false">
      <c r="B14" s="12" t="n">
        <v>9</v>
      </c>
      <c r="C14" s="12" t="n">
        <v>36</v>
      </c>
      <c r="D14" s="12" t="str">
        <f aca="false">IF(COUNTIF(Rijst_Pan_Brander!$C$6:$C$52,C14)&gt;0,"ja","nee (geen brander bekend)")</f>
        <v>nee (geen brander bekend)</v>
      </c>
    </row>
    <row r="15" customFormat="false" ht="15" hidden="false" customHeight="false" outlineLevel="0" collapsed="false">
      <c r="B15" s="12" t="n">
        <v>10</v>
      </c>
      <c r="C15" s="12" t="n">
        <v>38</v>
      </c>
      <c r="D15" s="12" t="str">
        <f aca="false">IF(COUNTIF(Rijst_Pan_Brander!$C$6:$C$52,C15)&gt;0,"ja","nee (geen brander bekend)")</f>
        <v>nee (geen brander bekend)</v>
      </c>
    </row>
    <row r="16" customFormat="false" ht="15" hidden="false" customHeight="false" outlineLevel="0" collapsed="false">
      <c r="B16" s="12" t="n">
        <v>11</v>
      </c>
      <c r="C16" s="12" t="n">
        <v>40</v>
      </c>
      <c r="D16" s="12" t="str">
        <f aca="false">IF(COUNTIF(Rijst_Pan_Brander!$C$6:$C$52,C16)&gt;0,"ja","nee (geen brander bekend)")</f>
        <v>nee (geen brander bekend)</v>
      </c>
    </row>
    <row r="17" customFormat="false" ht="15" hidden="false" customHeight="false" outlineLevel="0" collapsed="false">
      <c r="B17" s="12" t="n">
        <v>12</v>
      </c>
      <c r="C17" s="12" t="n">
        <v>42</v>
      </c>
      <c r="D17" s="12" t="str">
        <f aca="false">IF(COUNTIF(Rijst_Pan_Brander!$C$6:$C$52,C17)&gt;0,"ja","nee (geen brander bekend)")</f>
        <v>nee (geen brander bekend)</v>
      </c>
    </row>
    <row r="18" customFormat="false" ht="15" hidden="false" customHeight="false" outlineLevel="0" collapsed="false">
      <c r="B18" s="12" t="n">
        <v>13</v>
      </c>
      <c r="C18" s="12" t="n">
        <v>46</v>
      </c>
      <c r="D18" s="12" t="str">
        <f aca="false">IF(COUNTIF(Rijst_Pan_Brander!$C$6:$C$52,C18)&gt;0,"ja","nee (geen brander bekend)")</f>
        <v>ja</v>
      </c>
    </row>
    <row r="19" customFormat="false" ht="15" hidden="false" customHeight="false" outlineLevel="0" collapsed="false">
      <c r="B19" s="12" t="n">
        <v>14</v>
      </c>
      <c r="C19" s="12" t="n">
        <v>50</v>
      </c>
      <c r="D19" s="12" t="str">
        <f aca="false">IF(COUNTIF(Rijst_Pan_Brander!$C$6:$C$52,C19)&gt;0,"ja","nee (geen brander bekend)")</f>
        <v>ja</v>
      </c>
    </row>
    <row r="20" customFormat="false" ht="15" hidden="false" customHeight="false" outlineLevel="0" collapsed="false">
      <c r="B20" s="12" t="n">
        <v>15</v>
      </c>
      <c r="C20" s="12" t="n">
        <v>55</v>
      </c>
      <c r="D20" s="12" t="str">
        <f aca="false">IF(COUNTIF(Rijst_Pan_Brander!$C$6:$C$52,C20)&gt;0,"ja","nee (geen brander bekend)")</f>
        <v>ja</v>
      </c>
    </row>
    <row r="21" customFormat="false" ht="15" hidden="false" customHeight="false" outlineLevel="0" collapsed="false">
      <c r="B21" s="12" t="n">
        <v>16</v>
      </c>
      <c r="C21" s="12" t="n">
        <v>60</v>
      </c>
      <c r="D21" s="12" t="str">
        <f aca="false">IF(COUNTIF(Rijst_Pan_Brander!$C$6:$C$52,C21)&gt;0,"ja","nee (geen brander bekend)")</f>
        <v>ja</v>
      </c>
    </row>
    <row r="22" customFormat="false" ht="15" hidden="false" customHeight="false" outlineLevel="0" collapsed="false">
      <c r="B22" s="12" t="n">
        <v>17</v>
      </c>
      <c r="C22" s="12" t="n">
        <v>65</v>
      </c>
      <c r="D22" s="12" t="str">
        <f aca="false">IF(COUNTIF(Rijst_Pan_Brander!$C$6:$C$52,C22)&gt;0,"ja","nee (geen brander bekend)")</f>
        <v>ja</v>
      </c>
    </row>
    <row r="23" customFormat="false" ht="15" hidden="false" customHeight="false" outlineLevel="0" collapsed="false">
      <c r="B23" s="12" t="n">
        <v>18</v>
      </c>
      <c r="C23" s="12" t="n">
        <v>70</v>
      </c>
      <c r="D23" s="12" t="str">
        <f aca="false">IF(COUNTIF(Rijst_Pan_Brander!$C$6:$C$52,C23)&gt;0,"ja","nee (geen brander bekend)")</f>
        <v>ja</v>
      </c>
    </row>
    <row r="24" customFormat="false" ht="15" hidden="false" customHeight="false" outlineLevel="0" collapsed="false">
      <c r="B24" s="12" t="n">
        <v>19</v>
      </c>
      <c r="C24" s="12" t="n">
        <v>75</v>
      </c>
      <c r="D24" s="12" t="str">
        <f aca="false">IF(COUNTIF(Rijst_Pan_Brander!$C$6:$C$52,C24)&gt;0,"ja","nee (geen brander bekend)")</f>
        <v>ja</v>
      </c>
    </row>
    <row r="25" customFormat="false" ht="15" hidden="false" customHeight="false" outlineLevel="0" collapsed="false">
      <c r="B25" s="12" t="n">
        <v>20</v>
      </c>
      <c r="C25" s="12" t="n">
        <v>80</v>
      </c>
      <c r="D25" s="12" t="str">
        <f aca="false">IF(COUNTIF(Rijst_Pan_Brander!$C$6:$C$52,C25)&gt;0,"ja","nee (geen brander bekend)")</f>
        <v>ja</v>
      </c>
    </row>
    <row r="26" customFormat="false" ht="15" hidden="false" customHeight="false" outlineLevel="0" collapsed="false">
      <c r="B26" s="12" t="n">
        <v>21</v>
      </c>
      <c r="C26" s="12" t="n">
        <v>85</v>
      </c>
      <c r="D26" s="12" t="str">
        <f aca="false">IF(COUNTIF(Rijst_Pan_Brander!$C$6:$C$52,C26)&gt;0,"ja","nee (geen brander bekend)")</f>
        <v>ja</v>
      </c>
    </row>
    <row r="27" customFormat="false" ht="15" hidden="false" customHeight="false" outlineLevel="0" collapsed="false">
      <c r="B27" s="12" t="n">
        <v>22</v>
      </c>
      <c r="C27" s="12" t="n">
        <v>90</v>
      </c>
      <c r="D27" s="12" t="str">
        <f aca="false">IF(COUNTIF(Rijst_Pan_Brander!$C$6:$C$52,C27)&gt;0,"ja","nee (geen brander bekend)")</f>
        <v>ja</v>
      </c>
    </row>
    <row r="28" customFormat="false" ht="15" hidden="false" customHeight="false" outlineLevel="0" collapsed="false">
      <c r="B28" s="12" t="n">
        <v>23</v>
      </c>
      <c r="C28" s="12" t="n">
        <v>100</v>
      </c>
      <c r="D28" s="12" t="str">
        <f aca="false">IF(COUNTIF(Rijst_Pan_Brander!$C$6:$C$52,C28)&gt;0,"ja","nee (geen brander bekend)")</f>
        <v>ja</v>
      </c>
    </row>
    <row r="29" customFormat="false" ht="15" hidden="false" customHeight="false" outlineLevel="0" collapsed="false">
      <c r="B29" s="12" t="n">
        <v>24</v>
      </c>
      <c r="C29" s="12" t="n">
        <v>115</v>
      </c>
      <c r="D29" s="12" t="str">
        <f aca="false">IF(COUNTIF(Rijst_Pan_Brander!$C$6:$C$52,C29)&gt;0,"ja","nee (geen brander bekend)")</f>
        <v>ja</v>
      </c>
    </row>
    <row r="30" customFormat="false" ht="15" hidden="false" customHeight="false" outlineLevel="0" collapsed="false">
      <c r="B30" s="12" t="n">
        <v>25</v>
      </c>
      <c r="C30" s="12" t="n">
        <v>130</v>
      </c>
      <c r="D30" s="12" t="str">
        <f aca="false">IF(COUNTIF(Rijst_Pan_Brander!$C$6:$C$52,C30)&gt;0,"ja","nee (geen brander bekend)")</f>
        <v>ja</v>
      </c>
    </row>
    <row r="32" customFormat="false" ht="45" hidden="false" customHeight="true" outlineLevel="0" collapsed="false">
      <c r="B32" s="16" t="s">
        <v>64</v>
      </c>
      <c r="C32" s="17" t="s">
        <v>87</v>
      </c>
      <c r="D32" s="17"/>
    </row>
  </sheetData>
  <mergeCells count="2">
    <mergeCell ref="B2:D2"/>
    <mergeCell ref="C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12"/>
    <col collapsed="false" customWidth="true" hidden="false" outlineLevel="0" max="25" min="25" style="0" width="14"/>
  </cols>
  <sheetData>
    <row r="1" customFormat="false" ht="17.35" hidden="false" customHeight="false" outlineLevel="0" collapsed="false">
      <c r="B1" s="7" t="s">
        <v>88</v>
      </c>
    </row>
    <row r="2" customFormat="false" ht="45" hidden="false" customHeight="true" outlineLevel="0" collapsed="false">
      <c r="B2" s="3" t="s">
        <v>89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" hidden="false" customHeight="false" outlineLevel="0" collapsed="false">
      <c r="B3" s="18" t="s">
        <v>90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customFormat="false" ht="42" hidden="false" customHeight="true" outlineLevel="0" collapsed="false">
      <c r="B5" s="4" t="s">
        <v>91</v>
      </c>
      <c r="C5" s="4" t="s">
        <v>31</v>
      </c>
      <c r="D5" s="4" t="s">
        <v>68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97</v>
      </c>
      <c r="K5" s="4" t="s">
        <v>98</v>
      </c>
      <c r="L5" s="4" t="s">
        <v>99</v>
      </c>
      <c r="M5" s="4" t="s">
        <v>100</v>
      </c>
      <c r="N5" s="4" t="s">
        <v>101</v>
      </c>
      <c r="O5" s="4" t="s">
        <v>102</v>
      </c>
      <c r="P5" s="4" t="s">
        <v>103</v>
      </c>
      <c r="Q5" s="4" t="s">
        <v>104</v>
      </c>
      <c r="R5" s="4" t="s">
        <v>105</v>
      </c>
      <c r="S5" s="4" t="s">
        <v>106</v>
      </c>
      <c r="T5" s="4" t="s">
        <v>107</v>
      </c>
      <c r="U5" s="4" t="s">
        <v>108</v>
      </c>
      <c r="V5" s="4" t="s">
        <v>109</v>
      </c>
      <c r="W5" s="4" t="s">
        <v>110</v>
      </c>
      <c r="X5" s="4" t="s">
        <v>111</v>
      </c>
      <c r="Y5" s="4" t="s">
        <v>112</v>
      </c>
    </row>
    <row r="6" customFormat="false" ht="15" hidden="false" customHeight="false" outlineLevel="0" collapsed="false">
      <c r="B6" s="12" t="n">
        <v>1</v>
      </c>
      <c r="C6" s="19" t="s">
        <v>33</v>
      </c>
      <c r="D6" s="19" t="s">
        <v>73</v>
      </c>
      <c r="E6" s="19" t="n">
        <v>4</v>
      </c>
      <c r="F6" s="19" t="s">
        <v>113</v>
      </c>
      <c r="G6" s="19" t="s">
        <v>42</v>
      </c>
      <c r="H6" s="19"/>
      <c r="I6" s="12" t="n">
        <f aca="false">INDEX(Portiegrootte_Gasten!$C$5:$C$7,MATCH(D6,Portiegrootte_Gasten!$B$5:$B$7,0))</f>
        <v>100</v>
      </c>
      <c r="J6" s="12" t="n">
        <f aca="false">E6*I6</f>
        <v>400</v>
      </c>
      <c r="K6" s="13" t="n">
        <f aca="false">INDEX(Rekenregels!$C$14:$C$17,MATCH(C6,Rekenregels!$B$14:$B$17,0))</f>
        <v>0.7</v>
      </c>
      <c r="L6" s="14" t="n">
        <f aca="false">IF(F6="Binnen",0,INDEX(Rekenregels!$C$21:$C$23,MATCH(G6,Rekenregels!$B$21:$B$23,0)))</f>
        <v>0.05</v>
      </c>
      <c r="M6" s="20" t="n">
        <f aca="false">IF(F6="Binnen",Rekenregels!$D$25,1+L6)</f>
        <v>1.05</v>
      </c>
      <c r="N6" s="13" t="n">
        <f aca="false">K6*(J6/100)*M6</f>
        <v>2.94</v>
      </c>
      <c r="O6" s="21" t="n">
        <f aca="false">ROUND(N6,1)</f>
        <v>2.9</v>
      </c>
      <c r="P6" s="12" t="n">
        <f aca="false">MIN(5000,MAX(400,CEILING(J6,100)))</f>
        <v>400</v>
      </c>
      <c r="Q6" s="12" t="n">
        <f aca="false">INDEX(Rijst_Pan_Brander!$C$6:$C$52,MATCH(P6,Rijst_Pan_Brander!$B$6:$B$52,0))</f>
        <v>46</v>
      </c>
      <c r="R6" s="12" t="n">
        <f aca="false">INDEX(Rijst_Pan_Brander!$D$6:$D$52,MATCH(P6,Rijst_Pan_Brander!$B$6:$B$52,0))</f>
        <v>30</v>
      </c>
      <c r="S6" s="12" t="n">
        <f aca="false">MATCH(Q6,Pangrootte_lijst!$C$5:$C$30,0)</f>
        <v>14</v>
      </c>
      <c r="T6" s="12" t="str">
        <f aca="false">IF(H6="","",IFERROR(MATCH(H6,Pangrootte_lijst!$C$5:$C$30,0),"onbekende maat"))</f>
        <v/>
      </c>
      <c r="U6" s="12" t="str">
        <f aca="false">IF(H6="","n.v.t.",IF(ISNUMBER(T6),IF(ABS(T6-S6)&lt;=1,"ja","nee"),"nee"))</f>
        <v>n.v.t.</v>
      </c>
      <c r="V6" s="12" t="str">
        <f aca="false">IF(H6="","n.v.t.",IFERROR(INDEX(Rijst_Pan_Brander!$D$6:$D$52,MATCH(H6,Rijst_Pan_Brander!$C$6:$C$52,0)),"nee (onbekend)"))</f>
        <v>n.v.t.</v>
      </c>
      <c r="W6" s="12" t="str">
        <f aca="false">IF(H6="","n.v.t. (geen voorkeur)",IF(AND(U6="ja",ISNUMBER(V6)),"ja","nee (val terug op standaard)"))</f>
        <v>n.v.t. (geen voorkeur)</v>
      </c>
      <c r="X6" s="12" t="n">
        <f aca="false">IF(W6="ja",H6,Q6)</f>
        <v>46</v>
      </c>
      <c r="Y6" s="12" t="n">
        <f aca="false">IF(W6="ja",V6,R6)</f>
        <v>30</v>
      </c>
    </row>
    <row r="7" customFormat="false" ht="15" hidden="false" customHeight="false" outlineLevel="0" collapsed="false">
      <c r="B7" s="12" t="n">
        <v>2</v>
      </c>
      <c r="C7" s="19" t="s">
        <v>33</v>
      </c>
      <c r="D7" s="19" t="s">
        <v>73</v>
      </c>
      <c r="E7" s="19" t="n">
        <v>4</v>
      </c>
      <c r="F7" s="19" t="s">
        <v>113</v>
      </c>
      <c r="G7" s="19" t="s">
        <v>42</v>
      </c>
      <c r="H7" s="19" t="n">
        <v>42</v>
      </c>
      <c r="I7" s="12" t="n">
        <f aca="false">INDEX(Portiegrootte_Gasten!$C$5:$C$7,MATCH(D7,Portiegrootte_Gasten!$B$5:$B$7,0))</f>
        <v>100</v>
      </c>
      <c r="J7" s="12" t="n">
        <f aca="false">E7*I7</f>
        <v>400</v>
      </c>
      <c r="K7" s="13" t="n">
        <f aca="false">INDEX(Rekenregels!$C$14:$C$17,MATCH(C7,Rekenregels!$B$14:$B$17,0))</f>
        <v>0.7</v>
      </c>
      <c r="L7" s="14" t="n">
        <f aca="false">IF(F7="Binnen",0,INDEX(Rekenregels!$C$21:$C$23,MATCH(G7,Rekenregels!$B$21:$B$23,0)))</f>
        <v>0.05</v>
      </c>
      <c r="M7" s="20" t="n">
        <f aca="false">IF(F7="Binnen",Rekenregels!$D$25,1+L7)</f>
        <v>1.05</v>
      </c>
      <c r="N7" s="13" t="n">
        <f aca="false">K7*(J7/100)*M7</f>
        <v>2.94</v>
      </c>
      <c r="O7" s="21" t="n">
        <f aca="false">ROUND(N7,1)</f>
        <v>2.9</v>
      </c>
      <c r="P7" s="12" t="n">
        <f aca="false">MIN(5000,MAX(400,CEILING(J7,100)))</f>
        <v>400</v>
      </c>
      <c r="Q7" s="12" t="n">
        <f aca="false">INDEX(Rijst_Pan_Brander!$C$6:$C$52,MATCH(P7,Rijst_Pan_Brander!$B$6:$B$52,0))</f>
        <v>46</v>
      </c>
      <c r="R7" s="12" t="n">
        <f aca="false">INDEX(Rijst_Pan_Brander!$D$6:$D$52,MATCH(P7,Rijst_Pan_Brander!$B$6:$B$52,0))</f>
        <v>30</v>
      </c>
      <c r="S7" s="12" t="n">
        <f aca="false">MATCH(Q7,Pangrootte_lijst!$C$5:$C$30,0)</f>
        <v>14</v>
      </c>
      <c r="T7" s="12" t="n">
        <f aca="false">IF(H7="","",IFERROR(MATCH(H7,Pangrootte_lijst!$C$5:$C$30,0),"onbekende maat"))</f>
        <v>13</v>
      </c>
      <c r="U7" s="12" t="str">
        <f aca="false">IF(H7="","n.v.t.",IF(ISNUMBER(T7),IF(ABS(T7-S7)&lt;=1,"ja","nee"),"nee"))</f>
        <v>ja</v>
      </c>
      <c r="V7" s="12" t="str">
        <f aca="false">IF(H7="","n.v.t.",IFERROR(INDEX(Rijst_Pan_Brander!$D$6:$D$52,MATCH(H7,Rijst_Pan_Brander!$C$6:$C$52,0)),"nee (onbekend)"))</f>
        <v>nee (onbekend)</v>
      </c>
      <c r="W7" s="12" t="str">
        <f aca="false">IF(H7="","n.v.t. (geen voorkeur)",IF(AND(U7="ja",ISNUMBER(V7)),"ja","nee (val terug op standaard)"))</f>
        <v>nee (val terug op standaard)</v>
      </c>
      <c r="X7" s="12" t="n">
        <f aca="false">IF(W7="ja",H7,Q7)</f>
        <v>46</v>
      </c>
      <c r="Y7" s="12" t="n">
        <f aca="false">IF(W7="ja",V7,R7)</f>
        <v>30</v>
      </c>
    </row>
    <row r="8" customFormat="false" ht="15" hidden="false" customHeight="false" outlineLevel="0" collapsed="false">
      <c r="B8" s="12" t="n">
        <v>3</v>
      </c>
      <c r="C8" s="19" t="s">
        <v>33</v>
      </c>
      <c r="D8" s="19" t="s">
        <v>73</v>
      </c>
      <c r="E8" s="19" t="n">
        <v>10</v>
      </c>
      <c r="F8" s="19" t="s">
        <v>113</v>
      </c>
      <c r="G8" s="19" t="s">
        <v>42</v>
      </c>
      <c r="H8" s="19"/>
      <c r="I8" s="12" t="n">
        <f aca="false">INDEX(Portiegrootte_Gasten!$C$5:$C$7,MATCH(D8,Portiegrootte_Gasten!$B$5:$B$7,0))</f>
        <v>100</v>
      </c>
      <c r="J8" s="12" t="n">
        <f aca="false">E8*I8</f>
        <v>1000</v>
      </c>
      <c r="K8" s="13" t="n">
        <f aca="false">INDEX(Rekenregels!$C$14:$C$17,MATCH(C8,Rekenregels!$B$14:$B$17,0))</f>
        <v>0.7</v>
      </c>
      <c r="L8" s="14" t="n">
        <f aca="false">IF(F8="Binnen",0,INDEX(Rekenregels!$C$21:$C$23,MATCH(G8,Rekenregels!$B$21:$B$23,0)))</f>
        <v>0.05</v>
      </c>
      <c r="M8" s="20" t="n">
        <f aca="false">IF(F8="Binnen",Rekenregels!$D$25,1+L8)</f>
        <v>1.05</v>
      </c>
      <c r="N8" s="13" t="n">
        <f aca="false">K8*(J8/100)*M8</f>
        <v>7.35</v>
      </c>
      <c r="O8" s="21" t="n">
        <f aca="false">ROUND(N8,1)</f>
        <v>7.4</v>
      </c>
      <c r="P8" s="12" t="n">
        <f aca="false">MIN(5000,MAX(400,CEILING(J8,100)))</f>
        <v>1000</v>
      </c>
      <c r="Q8" s="12" t="n">
        <f aca="false">INDEX(Rijst_Pan_Brander!$C$6:$C$52,MATCH(P8,Rijst_Pan_Brander!$B$6:$B$52,0))</f>
        <v>70</v>
      </c>
      <c r="R8" s="12" t="n">
        <f aca="false">INDEX(Rijst_Pan_Brander!$D$6:$D$52,MATCH(P8,Rijst_Pan_Brander!$B$6:$B$52,0))</f>
        <v>50</v>
      </c>
      <c r="S8" s="12" t="n">
        <f aca="false">MATCH(Q8,Pangrootte_lijst!$C$5:$C$30,0)</f>
        <v>19</v>
      </c>
      <c r="T8" s="12" t="str">
        <f aca="false">IF(H8="","",IFERROR(MATCH(H8,Pangrootte_lijst!$C$5:$C$30,0),"onbekende maat"))</f>
        <v/>
      </c>
      <c r="U8" s="12" t="str">
        <f aca="false">IF(H8="","n.v.t.",IF(ISNUMBER(T8),IF(ABS(T8-S8)&lt;=1,"ja","nee"),"nee"))</f>
        <v>n.v.t.</v>
      </c>
      <c r="V8" s="12" t="str">
        <f aca="false">IF(H8="","n.v.t.",IFERROR(INDEX(Rijst_Pan_Brander!$D$6:$D$52,MATCH(H8,Rijst_Pan_Brander!$C$6:$C$52,0)),"nee (onbekend)"))</f>
        <v>n.v.t.</v>
      </c>
      <c r="W8" s="12" t="str">
        <f aca="false">IF(H8="","n.v.t. (geen voorkeur)",IF(AND(U8="ja",ISNUMBER(V8)),"ja","nee (val terug op standaard)"))</f>
        <v>n.v.t. (geen voorkeur)</v>
      </c>
      <c r="X8" s="12" t="n">
        <f aca="false">IF(W8="ja",H8,Q8)</f>
        <v>70</v>
      </c>
      <c r="Y8" s="12" t="n">
        <f aca="false">IF(W8="ja",V8,R8)</f>
        <v>50</v>
      </c>
    </row>
    <row r="9" customFormat="false" ht="15" hidden="false" customHeight="false" outlineLevel="0" collapsed="false">
      <c r="B9" s="12" t="n">
        <v>4</v>
      </c>
      <c r="C9" s="19" t="s">
        <v>33</v>
      </c>
      <c r="D9" s="19" t="s">
        <v>73</v>
      </c>
      <c r="E9" s="19" t="n">
        <v>10</v>
      </c>
      <c r="F9" s="19" t="s">
        <v>113</v>
      </c>
      <c r="G9" s="19" t="s">
        <v>42</v>
      </c>
      <c r="H9" s="19" t="n">
        <v>65</v>
      </c>
      <c r="I9" s="12" t="n">
        <f aca="false">INDEX(Portiegrootte_Gasten!$C$5:$C$7,MATCH(D9,Portiegrootte_Gasten!$B$5:$B$7,0))</f>
        <v>100</v>
      </c>
      <c r="J9" s="12" t="n">
        <f aca="false">E9*I9</f>
        <v>1000</v>
      </c>
      <c r="K9" s="13" t="n">
        <f aca="false">INDEX(Rekenregels!$C$14:$C$17,MATCH(C9,Rekenregels!$B$14:$B$17,0))</f>
        <v>0.7</v>
      </c>
      <c r="L9" s="14" t="n">
        <f aca="false">IF(F9="Binnen",0,INDEX(Rekenregels!$C$21:$C$23,MATCH(G9,Rekenregels!$B$21:$B$23,0)))</f>
        <v>0.05</v>
      </c>
      <c r="M9" s="20" t="n">
        <f aca="false">IF(F9="Binnen",Rekenregels!$D$25,1+L9)</f>
        <v>1.05</v>
      </c>
      <c r="N9" s="13" t="n">
        <f aca="false">K9*(J9/100)*M9</f>
        <v>7.35</v>
      </c>
      <c r="O9" s="21" t="n">
        <f aca="false">ROUND(N9,1)</f>
        <v>7.4</v>
      </c>
      <c r="P9" s="12" t="n">
        <f aca="false">MIN(5000,MAX(400,CEILING(J9,100)))</f>
        <v>1000</v>
      </c>
      <c r="Q9" s="12" t="n">
        <f aca="false">INDEX(Rijst_Pan_Brander!$C$6:$C$52,MATCH(P9,Rijst_Pan_Brander!$B$6:$B$52,0))</f>
        <v>70</v>
      </c>
      <c r="R9" s="12" t="n">
        <f aca="false">INDEX(Rijst_Pan_Brander!$D$6:$D$52,MATCH(P9,Rijst_Pan_Brander!$B$6:$B$52,0))</f>
        <v>50</v>
      </c>
      <c r="S9" s="12" t="n">
        <f aca="false">MATCH(Q9,Pangrootte_lijst!$C$5:$C$30,0)</f>
        <v>19</v>
      </c>
      <c r="T9" s="12" t="n">
        <f aca="false">IF(H9="","",IFERROR(MATCH(H9,Pangrootte_lijst!$C$5:$C$30,0),"onbekende maat"))</f>
        <v>18</v>
      </c>
      <c r="U9" s="12" t="str">
        <f aca="false">IF(H9="","n.v.t.",IF(ISNUMBER(T9),IF(ABS(T9-S9)&lt;=1,"ja","nee"),"nee"))</f>
        <v>ja</v>
      </c>
      <c r="V9" s="12" t="n">
        <f aca="false">IF(H9="","n.v.t.",IFERROR(INDEX(Rijst_Pan_Brander!$D$6:$D$52,MATCH(H9,Rijst_Pan_Brander!$C$6:$C$52,0)),"nee (onbekend)"))</f>
        <v>45</v>
      </c>
      <c r="W9" s="12" t="str">
        <f aca="false">IF(H9="","n.v.t. (geen voorkeur)",IF(AND(U9="ja",ISNUMBER(V9)),"ja","nee (val terug op standaard)"))</f>
        <v>ja</v>
      </c>
      <c r="X9" s="12" t="n">
        <f aca="false">IF(W9="ja",H9,Q9)</f>
        <v>65</v>
      </c>
      <c r="Y9" s="12" t="n">
        <f aca="false">IF(W9="ja",V9,R9)</f>
        <v>45</v>
      </c>
    </row>
    <row r="10" customFormat="false" ht="15" hidden="false" customHeight="false" outlineLevel="0" collapsed="false">
      <c r="B10" s="12" t="n">
        <v>5</v>
      </c>
      <c r="C10" s="19" t="s">
        <v>34</v>
      </c>
      <c r="D10" s="19" t="s">
        <v>72</v>
      </c>
      <c r="E10" s="19" t="n">
        <v>6</v>
      </c>
      <c r="F10" s="19" t="s">
        <v>113</v>
      </c>
      <c r="G10" s="19" t="s">
        <v>41</v>
      </c>
      <c r="H10" s="19"/>
      <c r="I10" s="12" t="n">
        <f aca="false">INDEX(Portiegrootte_Gasten!$C$5:$C$7,MATCH(D10,Portiegrootte_Gasten!$B$5:$B$7,0))</f>
        <v>80</v>
      </c>
      <c r="J10" s="12" t="n">
        <f aca="false">E10*I10</f>
        <v>480</v>
      </c>
      <c r="K10" s="13" t="n">
        <f aca="false">INDEX(Rekenregels!$C$14:$C$17,MATCH(C10,Rekenregels!$B$14:$B$17,0))</f>
        <v>0.3</v>
      </c>
      <c r="L10" s="14" t="n">
        <f aca="false">IF(F10="Binnen",0,INDEX(Rekenregels!$C$21:$C$23,MATCH(G10,Rekenregels!$B$21:$B$23,0)))</f>
        <v>0</v>
      </c>
      <c r="M10" s="20" t="n">
        <f aca="false">IF(F10="Binnen",Rekenregels!$D$25,1+L10)</f>
        <v>1</v>
      </c>
      <c r="N10" s="13" t="n">
        <f aca="false">K10*(J10/100)*M10</f>
        <v>1.44</v>
      </c>
      <c r="O10" s="21" t="n">
        <f aca="false">ROUND(N10,1)</f>
        <v>1.4</v>
      </c>
      <c r="P10" s="12" t="n">
        <f aca="false">MIN(5000,MAX(400,CEILING(J10,100)))</f>
        <v>500</v>
      </c>
      <c r="Q10" s="12" t="n">
        <f aca="false">INDEX(Rijst_Pan_Brander!$C$6:$C$52,MATCH(P10,Rijst_Pan_Brander!$B$6:$B$52,0))</f>
        <v>50</v>
      </c>
      <c r="R10" s="12" t="n">
        <f aca="false">INDEX(Rijst_Pan_Brander!$D$6:$D$52,MATCH(P10,Rijst_Pan_Brander!$B$6:$B$52,0))</f>
        <v>35</v>
      </c>
      <c r="S10" s="12" t="n">
        <f aca="false">MATCH(Q10,Pangrootte_lijst!$C$5:$C$30,0)</f>
        <v>15</v>
      </c>
      <c r="T10" s="12" t="str">
        <f aca="false">IF(H10="","",IFERROR(MATCH(H10,Pangrootte_lijst!$C$5:$C$30,0),"onbekende maat"))</f>
        <v/>
      </c>
      <c r="U10" s="12" t="str">
        <f aca="false">IF(H10="","n.v.t.",IF(ISNUMBER(T10),IF(ABS(T10-S10)&lt;=1,"ja","nee"),"nee"))</f>
        <v>n.v.t.</v>
      </c>
      <c r="V10" s="12" t="str">
        <f aca="false">IF(H10="","n.v.t.",IFERROR(INDEX(Rijst_Pan_Brander!$D$6:$D$52,MATCH(H10,Rijst_Pan_Brander!$C$6:$C$52,0)),"nee (onbekend)"))</f>
        <v>n.v.t.</v>
      </c>
      <c r="W10" s="12" t="str">
        <f aca="false">IF(H10="","n.v.t. (geen voorkeur)",IF(AND(U10="ja",ISNUMBER(V10)),"ja","nee (val terug op standaard)"))</f>
        <v>n.v.t. (geen voorkeur)</v>
      </c>
      <c r="X10" s="12" t="n">
        <f aca="false">IF(W10="ja",H10,Q10)</f>
        <v>50</v>
      </c>
      <c r="Y10" s="12" t="n">
        <f aca="false">IF(W10="ja",V10,R10)</f>
        <v>35</v>
      </c>
    </row>
    <row r="11" customFormat="false" ht="15" hidden="false" customHeight="false" outlineLevel="0" collapsed="false">
      <c r="B11" s="12" t="n">
        <v>6</v>
      </c>
      <c r="C11" s="19" t="s">
        <v>36</v>
      </c>
      <c r="D11" s="19" t="s">
        <v>74</v>
      </c>
      <c r="E11" s="19" t="n">
        <v>40</v>
      </c>
      <c r="F11" s="19" t="s">
        <v>114</v>
      </c>
      <c r="G11" s="19" t="s">
        <v>41</v>
      </c>
      <c r="H11" s="19"/>
      <c r="I11" s="12" t="n">
        <f aca="false">INDEX(Portiegrootte_Gasten!$C$5:$C$7,MATCH(D11,Portiegrootte_Gasten!$B$5:$B$7,0))</f>
        <v>120</v>
      </c>
      <c r="J11" s="12" t="n">
        <f aca="false">E11*I11</f>
        <v>4800</v>
      </c>
      <c r="K11" s="13" t="n">
        <f aca="false">INDEX(Rekenregels!$C$14:$C$17,MATCH(C11,Rekenregels!$B$14:$B$17,0))</f>
        <v>0.3</v>
      </c>
      <c r="L11" s="12" t="n">
        <f aca="false">IF(F11="Binnen",0,INDEX(Rekenregels!$C$21:$C$23,MATCH(G11,Rekenregels!$B$21:$B$23,0)))</f>
        <v>0</v>
      </c>
      <c r="M11" s="13" t="n">
        <f aca="false">IF(F11="Binnen",Rekenregels!$D$25,1+L11)</f>
        <v>0.95</v>
      </c>
      <c r="N11" s="13" t="n">
        <f aca="false">K11*(J11/100)*M11</f>
        <v>13.68</v>
      </c>
      <c r="O11" s="21" t="n">
        <f aca="false">ROUND(N11,1)</f>
        <v>13.7</v>
      </c>
      <c r="P11" s="12" t="n">
        <f aca="false">MIN(5000,MAX(400,CEILING(J11,100)))</f>
        <v>4800</v>
      </c>
      <c r="Q11" s="12" t="n">
        <f aca="false">INDEX(Rijst_Pan_Brander!$C$6:$C$52,MATCH(P11,Rijst_Pan_Brander!$B$6:$B$52,0))</f>
        <v>130</v>
      </c>
      <c r="R11" s="12" t="n">
        <f aca="false">INDEX(Rijst_Pan_Brander!$D$6:$D$52,MATCH(P11,Rijst_Pan_Brander!$B$6:$B$52,0))</f>
        <v>90</v>
      </c>
      <c r="S11" s="12" t="n">
        <f aca="false">MATCH(Q11,Pangrootte_lijst!$C$5:$C$30,0)</f>
        <v>26</v>
      </c>
      <c r="T11" s="12" t="str">
        <f aca="false">IF(H11="","",IFERROR(MATCH(H11,Pangrootte_lijst!$C$5:$C$30,0),"onbekende maat"))</f>
        <v/>
      </c>
      <c r="U11" s="12" t="str">
        <f aca="false">IF(H11="","n.v.t.",IF(ISNUMBER(T11),IF(ABS(T11-S11)&lt;=1,"ja","nee"),"nee"))</f>
        <v>n.v.t.</v>
      </c>
      <c r="V11" s="12" t="str">
        <f aca="false">IF(H11="","n.v.t.",IFERROR(INDEX(Rijst_Pan_Brander!$D$6:$D$52,MATCH(H11,Rijst_Pan_Brander!$C$6:$C$52,0)),"nee (onbekend)"))</f>
        <v>n.v.t.</v>
      </c>
      <c r="W11" s="12" t="str">
        <f aca="false">IF(H11="","n.v.t. (geen voorkeur)",IF(AND(U11="ja",ISNUMBER(V11)),"ja","nee (val terug op standaard)"))</f>
        <v>n.v.t. (geen voorkeur)</v>
      </c>
      <c r="X11" s="12" t="n">
        <f aca="false">IF(W11="ja",H11,Q11)</f>
        <v>130</v>
      </c>
      <c r="Y11" s="12" t="n">
        <f aca="false">IF(W11="ja",V11,R11)</f>
        <v>90</v>
      </c>
    </row>
    <row r="12" customFormat="false" ht="15" hidden="false" customHeight="false" outlineLevel="0" collapsed="false">
      <c r="B12" s="12" t="n">
        <v>7</v>
      </c>
      <c r="C12" s="19" t="s">
        <v>35</v>
      </c>
      <c r="D12" s="19" t="s">
        <v>73</v>
      </c>
      <c r="E12" s="19" t="n">
        <v>50</v>
      </c>
      <c r="F12" s="19" t="s">
        <v>113</v>
      </c>
      <c r="G12" s="19" t="s">
        <v>43</v>
      </c>
      <c r="H12" s="19"/>
      <c r="I12" s="12" t="n">
        <f aca="false">INDEX(Portiegrootte_Gasten!$C$5:$C$7,MATCH(D12,Portiegrootte_Gasten!$B$5:$B$7,0))</f>
        <v>100</v>
      </c>
      <c r="J12" s="12" t="n">
        <f aca="false">E12*I12</f>
        <v>5000</v>
      </c>
      <c r="K12" s="13" t="n">
        <f aca="false">INDEX(Rekenregels!$C$14:$C$17,MATCH(C12,Rekenregels!$B$14:$B$17,0))</f>
        <v>0.3</v>
      </c>
      <c r="L12" s="14" t="n">
        <f aca="false">IF(F12="Binnen",0,INDEX(Rekenregels!$C$21:$C$23,MATCH(G12,Rekenregels!$B$21:$B$23,0)))</f>
        <v>0.1</v>
      </c>
      <c r="M12" s="20" t="n">
        <f aca="false">IF(F12="Binnen",Rekenregels!$D$25,1+L12)</f>
        <v>1.1</v>
      </c>
      <c r="N12" s="13" t="n">
        <f aca="false">K12*(J12/100)*M12</f>
        <v>16.5</v>
      </c>
      <c r="O12" s="21" t="n">
        <f aca="false">ROUND(N12,1)</f>
        <v>16.5</v>
      </c>
      <c r="P12" s="12" t="n">
        <f aca="false">MIN(5000,MAX(400,CEILING(J12,100)))</f>
        <v>5000</v>
      </c>
      <c r="Q12" s="12" t="n">
        <f aca="false">INDEX(Rijst_Pan_Brander!$C$6:$C$52,MATCH(P12,Rijst_Pan_Brander!$B$6:$B$52,0))</f>
        <v>130</v>
      </c>
      <c r="R12" s="12" t="n">
        <f aca="false">INDEX(Rijst_Pan_Brander!$D$6:$D$52,MATCH(P12,Rijst_Pan_Brander!$B$6:$B$52,0))</f>
        <v>90</v>
      </c>
      <c r="S12" s="12" t="n">
        <f aca="false">MATCH(Q12,Pangrootte_lijst!$C$5:$C$30,0)</f>
        <v>26</v>
      </c>
      <c r="T12" s="12" t="str">
        <f aca="false">IF(H12="","",IFERROR(MATCH(H12,Pangrootte_lijst!$C$5:$C$30,0),"onbekende maat"))</f>
        <v/>
      </c>
      <c r="U12" s="12" t="str">
        <f aca="false">IF(H12="","n.v.t.",IF(ISNUMBER(T12),IF(ABS(T12-S12)&lt;=1,"ja","nee"),"nee"))</f>
        <v>n.v.t.</v>
      </c>
      <c r="V12" s="12" t="str">
        <f aca="false">IF(H12="","n.v.t.",IFERROR(INDEX(Rijst_Pan_Brander!$D$6:$D$52,MATCH(H12,Rijst_Pan_Brander!$C$6:$C$52,0)),"nee (onbekend)"))</f>
        <v>n.v.t.</v>
      </c>
      <c r="W12" s="12" t="str">
        <f aca="false">IF(H12="","n.v.t. (geen voorkeur)",IF(AND(U12="ja",ISNUMBER(V12)),"ja","nee (val terug op standaard)"))</f>
        <v>n.v.t. (geen voorkeur)</v>
      </c>
      <c r="X12" s="12" t="n">
        <f aca="false">IF(W12="ja",H12,Q12)</f>
        <v>130</v>
      </c>
      <c r="Y12" s="12" t="n">
        <f aca="false">IF(W12="ja",V12,R12)</f>
        <v>90</v>
      </c>
    </row>
    <row r="14" customFormat="false" ht="45" hidden="false" customHeight="true" outlineLevel="0" collapsed="false">
      <c r="C14" s="16" t="s">
        <v>115</v>
      </c>
      <c r="D14" s="17" t="s">
        <v>116</v>
      </c>
      <c r="E14" s="17"/>
      <c r="F14" s="17"/>
      <c r="G14" s="17"/>
      <c r="H14" s="17"/>
      <c r="I14" s="17"/>
      <c r="J14" s="17"/>
      <c r="K14" s="17"/>
      <c r="L14" s="17"/>
      <c r="M14" s="17"/>
    </row>
    <row r="15" customFormat="false" ht="45" hidden="false" customHeight="true" outlineLevel="0" collapsed="false">
      <c r="C15" s="16" t="s">
        <v>117</v>
      </c>
      <c r="D15" s="17" t="s">
        <v>118</v>
      </c>
      <c r="E15" s="17"/>
      <c r="F15" s="17"/>
      <c r="G15" s="17"/>
      <c r="H15" s="17"/>
      <c r="I15" s="17"/>
      <c r="J15" s="17"/>
      <c r="K15" s="17"/>
      <c r="L15" s="17"/>
      <c r="M15" s="17"/>
    </row>
  </sheetData>
  <mergeCells count="4">
    <mergeCell ref="B2:Y2"/>
    <mergeCell ref="B3:Y3"/>
    <mergeCell ref="D14:M14"/>
    <mergeCell ref="D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46"/>
    <col collapsed="false" customWidth="true" hidden="false" outlineLevel="0" max="5" min="5" style="0" width="30"/>
  </cols>
  <sheetData>
    <row r="1" customFormat="false" ht="17.35" hidden="false" customHeight="false" outlineLevel="0" collapsed="false">
      <c r="B1" s="7" t="s">
        <v>119</v>
      </c>
    </row>
    <row r="2" customFormat="false" ht="15" hidden="false" customHeight="false" outlineLevel="0" collapsed="false">
      <c r="B2" s="2" t="s">
        <v>120</v>
      </c>
    </row>
    <row r="4" customFormat="false" ht="15" hidden="false" customHeight="false" outlineLevel="0" collapsed="false">
      <c r="B4" s="8" t="s">
        <v>121</v>
      </c>
      <c r="C4" s="8"/>
      <c r="D4" s="8"/>
      <c r="E4" s="8"/>
    </row>
    <row r="5" customFormat="false" ht="15" hidden="false" customHeight="false" outlineLevel="0" collapsed="false">
      <c r="B5" s="4" t="s">
        <v>122</v>
      </c>
      <c r="C5" s="4" t="s">
        <v>123</v>
      </c>
      <c r="D5" s="4" t="s">
        <v>124</v>
      </c>
      <c r="E5" s="4" t="s">
        <v>125</v>
      </c>
    </row>
    <row r="6" customFormat="false" ht="60" hidden="false" customHeight="true" outlineLevel="0" collapsed="false">
      <c r="B6" s="22" t="s">
        <v>126</v>
      </c>
      <c r="C6" s="22" t="s">
        <v>127</v>
      </c>
      <c r="D6" s="22" t="s">
        <v>128</v>
      </c>
      <c r="E6" s="22" t="s">
        <v>129</v>
      </c>
    </row>
    <row r="7" customFormat="false" ht="60" hidden="false" customHeight="true" outlineLevel="0" collapsed="false">
      <c r="B7" s="22" t="s">
        <v>130</v>
      </c>
      <c r="C7" s="22" t="s">
        <v>131</v>
      </c>
      <c r="D7" s="22" t="s">
        <v>132</v>
      </c>
      <c r="E7" s="22" t="s">
        <v>133</v>
      </c>
    </row>
    <row r="8" customFormat="false" ht="60" hidden="false" customHeight="true" outlineLevel="0" collapsed="false">
      <c r="B8" s="22" t="s">
        <v>134</v>
      </c>
      <c r="C8" s="22" t="s">
        <v>135</v>
      </c>
      <c r="D8" s="22" t="s">
        <v>136</v>
      </c>
      <c r="E8" s="22" t="s">
        <v>137</v>
      </c>
    </row>
    <row r="9" customFormat="false" ht="60" hidden="false" customHeight="true" outlineLevel="0" collapsed="false">
      <c r="B9" s="22" t="s">
        <v>138</v>
      </c>
      <c r="C9" s="22" t="s">
        <v>139</v>
      </c>
      <c r="D9" s="22" t="s">
        <v>140</v>
      </c>
      <c r="E9" s="22" t="s">
        <v>141</v>
      </c>
    </row>
    <row r="11" customFormat="false" ht="15" hidden="false" customHeight="false" outlineLevel="0" collapsed="false">
      <c r="B11" s="8" t="s">
        <v>142</v>
      </c>
      <c r="C11" s="8"/>
      <c r="D11" s="8"/>
      <c r="E11" s="8"/>
    </row>
    <row r="12" customFormat="false" ht="15" hidden="false" customHeight="false" outlineLevel="0" collapsed="false">
      <c r="B12" s="4" t="s">
        <v>122</v>
      </c>
      <c r="C12" s="4" t="s">
        <v>123</v>
      </c>
      <c r="D12" s="4" t="s">
        <v>124</v>
      </c>
      <c r="E12" s="4" t="s">
        <v>143</v>
      </c>
    </row>
    <row r="13" customFormat="false" ht="75" hidden="false" customHeight="true" outlineLevel="0" collapsed="false">
      <c r="B13" s="22" t="s">
        <v>144</v>
      </c>
      <c r="C13" s="22" t="s">
        <v>145</v>
      </c>
      <c r="D13" s="22" t="s">
        <v>146</v>
      </c>
      <c r="E13" s="22" t="s">
        <v>147</v>
      </c>
    </row>
    <row r="15" customFormat="false" ht="15" hidden="false" customHeight="false" outlineLevel="0" collapsed="false">
      <c r="B15" s="8" t="s">
        <v>148</v>
      </c>
      <c r="C15" s="8"/>
      <c r="D15" s="8"/>
      <c r="E15" s="8"/>
    </row>
    <row r="16" customFormat="false" ht="60" hidden="false" customHeight="true" outlineLevel="0" collapsed="false">
      <c r="B16" s="23" t="s">
        <v>149</v>
      </c>
      <c r="C16" s="22" t="s">
        <v>150</v>
      </c>
      <c r="D16" s="22"/>
      <c r="E16" s="22"/>
    </row>
    <row r="17" customFormat="false" ht="60" hidden="false" customHeight="true" outlineLevel="0" collapsed="false">
      <c r="B17" s="23" t="s">
        <v>151</v>
      </c>
      <c r="C17" s="22" t="s">
        <v>152</v>
      </c>
      <c r="D17" s="22"/>
      <c r="E17" s="22"/>
    </row>
    <row r="18" customFormat="false" ht="60" hidden="false" customHeight="true" outlineLevel="0" collapsed="false">
      <c r="B18" s="23" t="s">
        <v>153</v>
      </c>
      <c r="C18" s="22" t="s">
        <v>154</v>
      </c>
      <c r="D18" s="22"/>
      <c r="E18" s="22"/>
    </row>
  </sheetData>
  <mergeCells count="3"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2026-09-10T16:39:13Z</dcterms:created>
  <dc:creator>openpyxl</dc:creator>
  <dc:description/>
  <dc:language>en-US</dc:language>
  <cp:lastModifiedBy/>
  <dcterms:modified xsi:type="dcterms:W3CDTF">2026-09-10T16:39:13Z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